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inotnoir" sheetId="1" r:id="rId1"/>
    <sheet name="Cardinal" sheetId="2" r:id="rId2"/>
    <sheet name="CS" sheetId="3" r:id="rId3"/>
    <sheet name="Pinot Noir" sheetId="4" r:id="rId4"/>
    <sheet name="Feuil2" sheetId="5" r:id="rId5"/>
  </sheets>
  <calcPr calcId="125725"/>
</workbook>
</file>

<file path=xl/calcChain.xml><?xml version="1.0" encoding="utf-8"?>
<calcChain xmlns="http://schemas.openxmlformats.org/spreadsheetml/2006/main">
  <c r="M7" i="1"/>
  <c r="M6"/>
  <c r="M19" i="2"/>
  <c r="M18"/>
  <c r="M17"/>
  <c r="M15"/>
  <c r="M14"/>
  <c r="M13"/>
  <c r="M11"/>
  <c r="M10"/>
  <c r="M9"/>
  <c r="M6"/>
  <c r="M7"/>
  <c r="M5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0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8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6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24"/>
</calcChain>
</file>

<file path=xl/comments1.xml><?xml version="1.0" encoding="utf-8"?>
<comments xmlns="http://schemas.openxmlformats.org/spreadsheetml/2006/main">
  <authors>
    <author>Auteur</author>
  </authors>
  <commentList>
    <comment ref="B3" author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values from figures</t>
        </r>
      </text>
    </comment>
    <comment ref="I3" author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values per berry</t>
        </r>
      </text>
    </comment>
  </commentList>
</comments>
</file>

<file path=xl/sharedStrings.xml><?xml version="1.0" encoding="utf-8"?>
<sst xmlns="http://schemas.openxmlformats.org/spreadsheetml/2006/main" count="973" uniqueCount="265">
  <si>
    <t xml:space="preserve"> 0.940062981958948</t>
  </si>
  <si>
    <t xml:space="preserve"> 1.083134517245274</t>
  </si>
  <si>
    <t xml:space="preserve"> 1.2049478765569006</t>
  </si>
  <si>
    <t xml:space="preserve"> 1.2119670856051505</t>
  </si>
  <si>
    <t xml:space="preserve"> 1.2868520187084784</t>
  </si>
  <si>
    <t xml:space="preserve"> 0.9614815969976075</t>
  </si>
  <si>
    <t xml:space="preserve"> 0.9810150530347369</t>
  </si>
  <si>
    <t xml:space="preserve"> 1.0730669659817842</t>
  </si>
  <si>
    <t xml:space="preserve"> 1.1075613647331834</t>
  </si>
  <si>
    <t xml:space="preserve"> 1.1230838441713131</t>
  </si>
  <si>
    <t xml:space="preserve"> 0.833772102085451</t>
  </si>
  <si>
    <t xml:space="preserve"> 0.8535462167185205</t>
  </si>
  <si>
    <t xml:space="preserve"> 0.9285915888858084</t>
  </si>
  <si>
    <t xml:space="preserve"> 1.0352835664192055</t>
  </si>
  <si>
    <t xml:space="preserve"> 1.044268154000965</t>
  </si>
  <si>
    <t xml:space="preserve"> 0.8233034531620614</t>
  </si>
  <si>
    <t xml:space="preserve"> 0.8385852740042509</t>
  </si>
  <si>
    <t xml:space="preserve"> 0.9177218423025186</t>
  </si>
  <si>
    <t xml:space="preserve"> 0.9863897616773968</t>
  </si>
  <si>
    <t xml:space="preserve"> 1.0337995050775754</t>
  </si>
  <si>
    <t xml:space="preserve"> 11.74714282187993</t>
  </si>
  <si>
    <t xml:space="preserve"> 13.879227142575036</t>
  </si>
  <si>
    <t xml:space="preserve"> 17.507781644944707</t>
  </si>
  <si>
    <t xml:space="preserve"> 19.7224032385466</t>
  </si>
  <si>
    <t xml:space="preserve"> 21.935482079383884</t>
  </si>
  <si>
    <t xml:space="preserve"> 14.830334221958917</t>
  </si>
  <si>
    <t xml:space="preserve"> 18.627820152053708</t>
  </si>
  <si>
    <t xml:space="preserve"> 21.339979512243282</t>
  </si>
  <si>
    <t xml:space="preserve"> 22.970669184439177</t>
  </si>
  <si>
    <t xml:space="preserve"> 24.93536483017378</t>
  </si>
  <si>
    <t xml:space="preserve"> 10.164278485387043</t>
  </si>
  <si>
    <t xml:space="preserve"> 11.295116261848335</t>
  </si>
  <si>
    <t xml:space="preserve"> 13.755806921406002</t>
  </si>
  <si>
    <t xml:space="preserve"> 16.888366409952606</t>
  </si>
  <si>
    <t xml:space="preserve"> 19.35214257503949</t>
  </si>
  <si>
    <t xml:space="preserve"> 10.99890773104265</t>
  </si>
  <si>
    <t xml:space="preserve"> 12.459894599131118</t>
  </si>
  <si>
    <t xml:space="preserve"> 15.673448607819903</t>
  </si>
  <si>
    <t xml:space="preserve"> 18.47045937006319</t>
  </si>
  <si>
    <t xml:space="preserve"> 20.183686315165875</t>
  </si>
  <si>
    <t xml:space="preserve"> 2.736903261619707</t>
  </si>
  <si>
    <t xml:space="preserve"> 2.873022874346125</t>
  </si>
  <si>
    <t xml:space="preserve"> 3.0389919084626076</t>
  </si>
  <si>
    <t xml:space="preserve"> 3.1075986937518123</t>
  </si>
  <si>
    <t xml:space="preserve"> 3.218557275882417</t>
  </si>
  <si>
    <t xml:space="preserve"> 3.0621213030475784</t>
  </si>
  <si>
    <t xml:space="preserve"> 3.3076367009731844</t>
  </si>
  <si>
    <t xml:space="preserve"> 3.5284599073824023</t>
  </si>
  <si>
    <t xml:space="preserve"> 3.7027117652353944</t>
  </si>
  <si>
    <t xml:space="preserve"> 3.7547529030515796</t>
  </si>
  <si>
    <t xml:space="preserve"> 2.7665964033166297</t>
  </si>
  <si>
    <t xml:space="preserve"> 2.8434860123423444</t>
  </si>
  <si>
    <t xml:space="preserve"> 2.971322801332253</t>
  </si>
  <si>
    <t xml:space="preserve"> 3.081968824076574</t>
  </si>
  <si>
    <t xml:space="preserve"> 3.17182964763305</t>
  </si>
  <si>
    <t xml:space="preserve"> 2.838016223082385</t>
  </si>
  <si>
    <t xml:space="preserve"> 2.974292115501945</t>
  </si>
  <si>
    <t xml:space="preserve"> 3.1404174293115687</t>
  </si>
  <si>
    <t xml:space="preserve"> 3.3437373100889167</t>
  </si>
  <si>
    <t xml:space="preserve"> 3.425471589602024</t>
  </si>
  <si>
    <t xml:space="preserve"> 2.5085749299381903</t>
  </si>
  <si>
    <t xml:space="preserve"> 1.8201357115737915</t>
  </si>
  <si>
    <t xml:space="preserve"> 1.3013711522311983</t>
  </si>
  <si>
    <t xml:space="preserve"> 1.1423797124811367</t>
  </si>
  <si>
    <t xml:space="preserve"> 1.0019268002908647</t>
  </si>
  <si>
    <t xml:space="preserve"> 1.4515646466986482</t>
  </si>
  <si>
    <t xml:space="preserve"> 0.8523617304864581</t>
  </si>
  <si>
    <t xml:space="preserve"> 0.5884233720080942</t>
  </si>
  <si>
    <t xml:space="preserve"> 0.5343788509863341</t>
  </si>
  <si>
    <t xml:space="preserve"> 0.5086134398015414</t>
  </si>
  <si>
    <t xml:space="preserve"> 2.8155603778350495</t>
  </si>
  <si>
    <t xml:space="preserve"> 2.3489550655250846</t>
  </si>
  <si>
    <t xml:space="preserve"> 1.8380458144705382</t>
  </si>
  <si>
    <t xml:space="preserve"> 1.5210055719649795</t>
  </si>
  <si>
    <t xml:space="preserve"> 1.257067213486616</t>
  </si>
  <si>
    <t xml:space="preserve"> 2.5783300675360436</t>
  </si>
  <si>
    <t xml:space="preserve"> 1.979441363655376</t>
  </si>
  <si>
    <t xml:space="preserve"> 1.380238447443186</t>
  </si>
  <si>
    <t xml:space="preserve"> 0.9312290256984452</t>
  </si>
  <si>
    <t xml:space="preserve"> 0.7112803936331424</t>
  </si>
  <si>
    <t xml:space="preserve"> 1.4695585554884305</t>
  </si>
  <si>
    <t xml:space="preserve"> 1.0823038813245142</t>
  </si>
  <si>
    <t xml:space="preserve"> 0.6948878510463619</t>
  </si>
  <si>
    <t xml:space="preserve"> 0.5144917153316708</t>
  </si>
  <si>
    <t xml:space="preserve"> 0.4725391256305791</t>
  </si>
  <si>
    <t xml:space="preserve"> 0.7268363616648843</t>
  </si>
  <si>
    <t xml:space="preserve"> 0.42590720861667463</t>
  </si>
  <si>
    <t xml:space="preserve"> 0.2459951412446877</t>
  </si>
  <si>
    <t xml:space="preserve"> 0.16071843487150783</t>
  </si>
  <si>
    <t xml:space="preserve"> 0.11844313294194819</t>
  </si>
  <si>
    <t xml:space="preserve"> 1.6513262181741197</t>
  </si>
  <si>
    <t xml:space="preserve"> 1.3761333653463854</t>
  </si>
  <si>
    <t xml:space="preserve"> 0.9971885310655697</t>
  </si>
  <si>
    <t xml:space="preserve"> 0.825424947462448</t>
  </si>
  <si>
    <t xml:space="preserve"> 0.6797203763082749</t>
  </si>
  <si>
    <t xml:space="preserve"> 1.4092920468216716</t>
  </si>
  <si>
    <t xml:space="preserve"> 1.1428931022197437</t>
  </si>
  <si>
    <t xml:space="preserve"> 0.7466831637157858</t>
  </si>
  <si>
    <t xml:space="preserve"> 0.44575401066757525</t>
  </si>
  <si>
    <t xml:space="preserve"> 0.2827843352902599</t>
  </si>
  <si>
    <t xml:space="preserve"> 1.227153480208766</t>
  </si>
  <si>
    <t xml:space="preserve"> 1.1053577201976816</t>
  </si>
  <si>
    <t xml:space="preserve"> 0.9706988129878531</t>
  </si>
  <si>
    <t xml:space="preserve"> 0.8789016673594752</t>
  </si>
  <si>
    <t xml:space="preserve"> 0.8469170015241789</t>
  </si>
  <si>
    <t xml:space="preserve"> 1.128843933305621</t>
  </si>
  <si>
    <t xml:space="preserve"> 1.0498175603898207</t>
  </si>
  <si>
    <t xml:space="preserve"> 0.9365664403491758</t>
  </si>
  <si>
    <t xml:space="preserve"> 0.8362246547503576</t>
  </si>
  <si>
    <t xml:space="preserve"> 0.821236894369775</t>
  </si>
  <si>
    <t xml:space="preserve"> 1.1801579603713454</t>
  </si>
  <si>
    <t xml:space="preserve"> 1.2163918525703203</t>
  </si>
  <si>
    <t xml:space="preserve"> 1.1075054270010622</t>
  </si>
  <si>
    <t xml:space="preserve"> 0.960075747078657</t>
  </si>
  <si>
    <t xml:space="preserve"> 0.9621310793958706</t>
  </si>
  <si>
    <t xml:space="preserve"> 1.4066832940741762</t>
  </si>
  <si>
    <t xml:space="preserve"> 1.302023001247055</t>
  </si>
  <si>
    <t xml:space="preserve"> 1.2100411066463445</t>
  </si>
  <si>
    <t xml:space="preserve"> 1.002845134173941</t>
  </si>
  <si>
    <t xml:space="preserve"> 0.9793589210660012</t>
  </si>
  <si>
    <t>values</t>
  </si>
  <si>
    <t>Variable</t>
  </si>
  <si>
    <t>fw</t>
  </si>
  <si>
    <t>Brix</t>
  </si>
  <si>
    <t>pH</t>
  </si>
  <si>
    <t>TA</t>
  </si>
  <si>
    <t>Malic</t>
  </si>
  <si>
    <t>Tartrate</t>
  </si>
  <si>
    <t>Kliewer and Lider 1970 95(6): 766-769 J. Amer. Soc. Hort. Sci.</t>
  </si>
  <si>
    <t>WAV</t>
  </si>
  <si>
    <t>Figure 2, cv. Cardinal, fw=g, TA=g Tartaric acid/100ml; Malic= g/100mL; Tar=g/100ml; WAV=weeks after veraison</t>
  </si>
  <si>
    <t>HL</t>
  </si>
  <si>
    <t>LL</t>
  </si>
  <si>
    <t>light</t>
  </si>
  <si>
    <t>Temp</t>
  </si>
  <si>
    <t>dd.tmean</t>
  </si>
  <si>
    <t>dd.tmax</t>
  </si>
  <si>
    <t>values.berry</t>
  </si>
  <si>
    <t>Figure 3, cv. Pinot Noir, fw=g, TA=g Tartaric acid/100ml; Malic= g/100mL; Tar=g/100ml; WAV=weeks after veraison</t>
  </si>
  <si>
    <t>Buttrose, M. S., C. R. Hale, et al. (1971). "Effect of temperature on the composition of 'Cabernet Sauvignon' berries." American Journal of Enology and Viticulture 22(2): 71-75.</t>
  </si>
  <si>
    <t>Table2</t>
  </si>
  <si>
    <t>dav</t>
  </si>
  <si>
    <t>mal</t>
  </si>
  <si>
    <t>tartaric</t>
  </si>
  <si>
    <t>treat</t>
  </si>
  <si>
    <t>A</t>
  </si>
  <si>
    <t>B</t>
  </si>
  <si>
    <t>C</t>
  </si>
  <si>
    <t>D</t>
  </si>
  <si>
    <t>E</t>
  </si>
  <si>
    <t>F</t>
  </si>
  <si>
    <t>2.2</t>
  </si>
  <si>
    <t>7.9</t>
  </si>
  <si>
    <t>15.2</t>
  </si>
  <si>
    <t>18.2</t>
  </si>
  <si>
    <t>5.1</t>
  </si>
  <si>
    <t>2.5</t>
  </si>
  <si>
    <t>2.4</t>
  </si>
  <si>
    <t>3.1</t>
  </si>
  <si>
    <t>8.1</t>
  </si>
  <si>
    <t>20.9</t>
  </si>
  <si>
    <t>3.6</t>
  </si>
  <si>
    <t>1.8</t>
  </si>
  <si>
    <t>18.1</t>
  </si>
  <si>
    <t>2.7</t>
  </si>
  <si>
    <t>8.2</t>
  </si>
  <si>
    <t>17.5</t>
  </si>
  <si>
    <t>21.1</t>
  </si>
  <si>
    <t>1.3</t>
  </si>
  <si>
    <t>5.5</t>
  </si>
  <si>
    <t>14.5</t>
  </si>
  <si>
    <t>16.9</t>
  </si>
  <si>
    <t>3.8</t>
  </si>
  <si>
    <t>1.2</t>
  </si>
  <si>
    <t>6.5</t>
  </si>
  <si>
    <t>15.3</t>
  </si>
  <si>
    <t>17.2</t>
  </si>
  <si>
    <t>3.4</t>
  </si>
  <si>
    <t>2.6</t>
  </si>
  <si>
    <t>1.1</t>
  </si>
  <si>
    <t>1.5</t>
  </si>
  <si>
    <t>6.4</t>
  </si>
  <si>
    <t>15.1</t>
  </si>
  <si>
    <t>19.3</t>
  </si>
  <si>
    <t>3.3</t>
  </si>
  <si>
    <t>0.8</t>
  </si>
  <si>
    <t>Temp.day</t>
  </si>
  <si>
    <t>Temp.night</t>
  </si>
  <si>
    <t>The cultivar should be pinot noir!!!!</t>
  </si>
  <si>
    <t>cultivar</t>
  </si>
  <si>
    <t>brix</t>
  </si>
  <si>
    <t>Pinotnoir</t>
  </si>
  <si>
    <t>g</t>
  </si>
  <si>
    <t>gTartaric/100ml</t>
  </si>
  <si>
    <t>g/100ml</t>
  </si>
  <si>
    <t>1.9945390658221613</t>
  </si>
  <si>
    <t xml:space="preserve"> 89.53156822810591</t>
  </si>
  <si>
    <t>2.984311004677604</t>
  </si>
  <si>
    <t xml:space="preserve"> 94.34121886260378</t>
  </si>
  <si>
    <t>3.971665808733019</t>
  </si>
  <si>
    <t xml:space="preserve"> 103.96365345448848</t>
  </si>
  <si>
    <t>1.996900766503618</t>
  </si>
  <si>
    <t xml:space="preserve"> 8.491711200468813</t>
  </si>
  <si>
    <t>3.0018772997388074</t>
  </si>
  <si>
    <t xml:space="preserve"> 14.930617206584571</t>
  </si>
  <si>
    <t>3.9943423006050302</t>
  </si>
  <si>
    <t xml:space="preserve"> 19.275201490069065</t>
  </si>
  <si>
    <t>2.0112514682270284</t>
  </si>
  <si>
    <t xml:space="preserve"> 96.94461851793826</t>
  </si>
  <si>
    <t>2.9923447036481665</t>
  </si>
  <si>
    <t xml:space="preserve"> 105.92753610574384</t>
  </si>
  <si>
    <t>3.9588929588929593</t>
  </si>
  <si>
    <t xml:space="preserve"> 134.86906772039154</t>
  </si>
  <si>
    <t>1.9912148837810752</t>
  </si>
  <si>
    <t xml:space="preserve"> 10.810877852629346</t>
  </si>
  <si>
    <t>2.985078689508425</t>
  </si>
  <si>
    <t xml:space="preserve"> 12.370286234848322</t>
  </si>
  <si>
    <t>4.0001447503993335</t>
  </si>
  <si>
    <t xml:space="preserve"> 16.72393684613641</t>
  </si>
  <si>
    <t>color</t>
  </si>
  <si>
    <t>od530 Fig1A</t>
  </si>
  <si>
    <t>Kliewer 1970,95:693-697, J. Amer. Soc. Hort. Sci.</t>
  </si>
  <si>
    <t>OD530</t>
  </si>
  <si>
    <t>OD/cm2 skin</t>
  </si>
  <si>
    <t>x is the OD obtained from the figure</t>
  </si>
  <si>
    <t>100 is the OD multiplier by the authors in the figure</t>
  </si>
  <si>
    <t>7.86 cm2 is the skin surface area used for extraction</t>
  </si>
  <si>
    <t>20 ml is the volum of ethanol used for extraction</t>
  </si>
  <si>
    <t>1.991425988951187</t>
  </si>
  <si>
    <t xml:space="preserve"> 96.62796976241901</t>
  </si>
  <si>
    <t>2.9601695121966003</t>
  </si>
  <si>
    <t xml:space="preserve"> 129.17105760327053</t>
  </si>
  <si>
    <t>3.939115817704281</t>
  </si>
  <si>
    <t xml:space="preserve"> 135.0271232089312</t>
  </si>
  <si>
    <t>1.9866678468752803</t>
  </si>
  <si>
    <t xml:space="preserve"> 66.30866235246634</t>
  </si>
  <si>
    <t>2.9721003759093216</t>
  </si>
  <si>
    <t xml:space="preserve"> 78.22626954995117</t>
  </si>
  <si>
    <t>3.9671438784897206</t>
  </si>
  <si>
    <t xml:space="preserve"> 82.86273575386697</t>
  </si>
  <si>
    <t>1.9917810741807322</t>
  </si>
  <si>
    <t xml:space="preserve"> 44.47518175818661</t>
  </si>
  <si>
    <t>2.976503432755683</t>
  </si>
  <si>
    <t xml:space="preserve"> 59.425216815988065</t>
  </si>
  <si>
    <t>3.9722097610979</t>
  </si>
  <si>
    <t xml:space="preserve"> 61.23141701694168</t>
  </si>
  <si>
    <t>1.9927279681261862</t>
  </si>
  <si>
    <t xml:space="preserve"> 40.431944611097805</t>
  </si>
  <si>
    <t>2.986635197972041</t>
  </si>
  <si>
    <t xml:space="preserve"> 49.9202953915202</t>
  </si>
  <si>
    <t>3.96948744100472</t>
  </si>
  <si>
    <t xml:space="preserve"> 55.97686579013076</t>
  </si>
  <si>
    <t>od530 Fig2A</t>
  </si>
  <si>
    <t>1.9842768978077742, 96.09350083647173</t>
  </si>
  <si>
    <t>2.957577877127827, 128.66133530119507</t>
  </si>
  <si>
    <t>3.937022987095804, 134.456120467589</t>
  </si>
  <si>
    <t>1.9817213744409385, 66.71993464819903</t>
  </si>
  <si>
    <t>2.9738081691491134, 78.19246744806956</t>
  </si>
  <si>
    <t>3.9675261489850557, 82.55711105369336</t>
  </si>
  <si>
    <t>1.9868867940122023, 44.211618866417666</t>
  </si>
  <si>
    <t>2.9735634913799482, 59.00402119757696</t>
  </si>
  <si>
    <t>3.972582822881135, 60.52265455152845</t>
  </si>
  <si>
    <t>1.987865505088863, 39.9468853498696</t>
  </si>
  <si>
    <t>2.9804416553353676, 49.28705139146615</t>
  </si>
  <si>
    <t>3.969021402018843, 55.786916329337544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</si>
</sst>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topLeftCell="C1" workbookViewId="0">
      <selection activeCell="M22" sqref="M22"/>
    </sheetView>
  </sheetViews>
  <sheetFormatPr baseColWidth="10" defaultColWidth="8.85546875" defaultRowHeight="15"/>
  <cols>
    <col min="1" max="1" width="34.28515625" customWidth="1"/>
    <col min="2" max="2" width="25.140625" customWidth="1"/>
    <col min="7" max="7" width="13.28515625" customWidth="1"/>
  </cols>
  <sheetData>
    <row r="1" spans="1:14">
      <c r="A1" t="s">
        <v>128</v>
      </c>
    </row>
    <row r="2" spans="1:14">
      <c r="A2" t="s">
        <v>130</v>
      </c>
      <c r="G2" t="s">
        <v>188</v>
      </c>
      <c r="K2" t="s">
        <v>221</v>
      </c>
    </row>
    <row r="3" spans="1:14">
      <c r="A3" t="s">
        <v>129</v>
      </c>
      <c r="B3" t="s">
        <v>120</v>
      </c>
      <c r="C3" t="s">
        <v>121</v>
      </c>
      <c r="D3" t="s">
        <v>133</v>
      </c>
      <c r="E3" t="s">
        <v>186</v>
      </c>
      <c r="F3" t="s">
        <v>187</v>
      </c>
      <c r="G3" t="s">
        <v>135</v>
      </c>
      <c r="H3" t="s">
        <v>136</v>
      </c>
      <c r="I3" t="s">
        <v>137</v>
      </c>
      <c r="K3" t="s">
        <v>252</v>
      </c>
      <c r="M3" t="s">
        <v>223</v>
      </c>
    </row>
    <row r="4" spans="1:14">
      <c r="A4">
        <v>1</v>
      </c>
      <c r="B4" t="s">
        <v>0</v>
      </c>
      <c r="C4" t="s">
        <v>122</v>
      </c>
      <c r="D4" t="s">
        <v>131</v>
      </c>
      <c r="E4">
        <v>20</v>
      </c>
      <c r="G4">
        <v>52.5</v>
      </c>
      <c r="H4">
        <v>70</v>
      </c>
      <c r="I4">
        <v>0.94006298200000005</v>
      </c>
      <c r="K4" t="s">
        <v>219</v>
      </c>
      <c r="M4" t="s">
        <v>222</v>
      </c>
      <c r="N4" t="s">
        <v>224</v>
      </c>
    </row>
    <row r="5" spans="1:14">
      <c r="A5">
        <v>2</v>
      </c>
      <c r="B5" t="s">
        <v>1</v>
      </c>
      <c r="C5" t="s">
        <v>122</v>
      </c>
      <c r="D5" t="s">
        <v>131</v>
      </c>
      <c r="E5">
        <v>20</v>
      </c>
      <c r="G5">
        <v>105</v>
      </c>
      <c r="H5">
        <v>140</v>
      </c>
      <c r="I5">
        <v>1.083134517</v>
      </c>
      <c r="M5">
        <v>0</v>
      </c>
      <c r="N5" t="s">
        <v>225</v>
      </c>
    </row>
    <row r="6" spans="1:14">
      <c r="A6">
        <v>3</v>
      </c>
      <c r="B6" t="s">
        <v>2</v>
      </c>
      <c r="C6" t="s">
        <v>122</v>
      </c>
      <c r="D6" t="s">
        <v>131</v>
      </c>
      <c r="E6">
        <v>20</v>
      </c>
      <c r="G6">
        <v>157.5</v>
      </c>
      <c r="H6">
        <v>210</v>
      </c>
      <c r="I6">
        <v>1.2049478769999999</v>
      </c>
      <c r="K6">
        <v>96.627969762418999</v>
      </c>
      <c r="M6">
        <f>K6/100*20/7.86</f>
        <v>2.4587269659648601</v>
      </c>
      <c r="N6" t="s">
        <v>227</v>
      </c>
    </row>
    <row r="7" spans="1:14">
      <c r="A7">
        <v>4</v>
      </c>
      <c r="B7" t="s">
        <v>3</v>
      </c>
      <c r="C7" t="s">
        <v>122</v>
      </c>
      <c r="D7" t="s">
        <v>131</v>
      </c>
      <c r="E7">
        <v>20</v>
      </c>
      <c r="G7">
        <v>210</v>
      </c>
      <c r="H7">
        <v>280</v>
      </c>
      <c r="I7">
        <v>1.211967086</v>
      </c>
      <c r="K7">
        <v>129.17105760326999</v>
      </c>
      <c r="M7">
        <f t="shared" ref="M7" si="0">K7/100*20/7.86</f>
        <v>3.2867953588618315</v>
      </c>
      <c r="N7" t="s">
        <v>226</v>
      </c>
    </row>
    <row r="8" spans="1:14">
      <c r="A8">
        <v>5</v>
      </c>
      <c r="B8" t="s">
        <v>4</v>
      </c>
      <c r="C8" t="s">
        <v>122</v>
      </c>
      <c r="D8" t="s">
        <v>131</v>
      </c>
      <c r="E8">
        <v>20</v>
      </c>
      <c r="G8">
        <v>262.5</v>
      </c>
      <c r="H8">
        <v>350</v>
      </c>
      <c r="I8">
        <v>1.2868520189999999</v>
      </c>
      <c r="K8">
        <v>135.02712320893099</v>
      </c>
    </row>
    <row r="9" spans="1:14">
      <c r="A9">
        <v>1</v>
      </c>
      <c r="B9" t="s">
        <v>5</v>
      </c>
      <c r="C9" t="s">
        <v>122</v>
      </c>
      <c r="D9" t="s">
        <v>131</v>
      </c>
      <c r="E9">
        <v>30</v>
      </c>
      <c r="G9">
        <v>87.5</v>
      </c>
      <c r="H9">
        <v>140</v>
      </c>
      <c r="I9">
        <v>0.96148159700000002</v>
      </c>
    </row>
    <row r="10" spans="1:14">
      <c r="A10">
        <v>2</v>
      </c>
      <c r="B10" t="s">
        <v>6</v>
      </c>
      <c r="C10" t="s">
        <v>122</v>
      </c>
      <c r="D10" t="s">
        <v>131</v>
      </c>
      <c r="E10">
        <v>30</v>
      </c>
      <c r="G10">
        <v>175</v>
      </c>
      <c r="H10">
        <v>280</v>
      </c>
      <c r="I10">
        <v>0.98101505300000003</v>
      </c>
      <c r="K10">
        <v>66.3086623524663</v>
      </c>
    </row>
    <row r="11" spans="1:14">
      <c r="A11">
        <v>3</v>
      </c>
      <c r="B11" t="s">
        <v>7</v>
      </c>
      <c r="C11" t="s">
        <v>122</v>
      </c>
      <c r="D11" t="s">
        <v>131</v>
      </c>
      <c r="E11">
        <v>30</v>
      </c>
      <c r="G11">
        <v>262.5</v>
      </c>
      <c r="H11">
        <v>420</v>
      </c>
      <c r="I11">
        <v>1.0730669660000001</v>
      </c>
      <c r="K11">
        <v>78.226269549951098</v>
      </c>
    </row>
    <row r="12" spans="1:14">
      <c r="A12">
        <v>4</v>
      </c>
      <c r="B12" t="s">
        <v>8</v>
      </c>
      <c r="C12" t="s">
        <v>122</v>
      </c>
      <c r="D12" t="s">
        <v>131</v>
      </c>
      <c r="E12">
        <v>30</v>
      </c>
      <c r="G12">
        <v>350</v>
      </c>
      <c r="H12">
        <v>560</v>
      </c>
      <c r="I12">
        <v>1.107561365</v>
      </c>
      <c r="K12">
        <v>82.8627357538669</v>
      </c>
    </row>
    <row r="13" spans="1:14">
      <c r="A13">
        <v>5</v>
      </c>
      <c r="B13" t="s">
        <v>9</v>
      </c>
      <c r="C13" t="s">
        <v>122</v>
      </c>
      <c r="D13" t="s">
        <v>131</v>
      </c>
      <c r="E13">
        <v>30</v>
      </c>
      <c r="G13">
        <v>437.5</v>
      </c>
      <c r="H13">
        <v>700</v>
      </c>
      <c r="I13">
        <v>1.1230838439999999</v>
      </c>
    </row>
    <row r="14" spans="1:14">
      <c r="A14">
        <v>1</v>
      </c>
      <c r="B14" t="s">
        <v>10</v>
      </c>
      <c r="C14" t="s">
        <v>122</v>
      </c>
      <c r="D14" t="s">
        <v>132</v>
      </c>
      <c r="E14">
        <v>20</v>
      </c>
      <c r="G14">
        <v>52.5</v>
      </c>
      <c r="H14">
        <v>70</v>
      </c>
      <c r="I14">
        <v>0.83377210199999996</v>
      </c>
      <c r="K14">
        <v>44.475181758186601</v>
      </c>
    </row>
    <row r="15" spans="1:14">
      <c r="A15">
        <v>2</v>
      </c>
      <c r="B15" t="s">
        <v>11</v>
      </c>
      <c r="C15" t="s">
        <v>122</v>
      </c>
      <c r="D15" t="s">
        <v>132</v>
      </c>
      <c r="E15">
        <v>20</v>
      </c>
      <c r="G15">
        <v>105</v>
      </c>
      <c r="H15">
        <v>140</v>
      </c>
      <c r="I15">
        <v>0.853546217</v>
      </c>
      <c r="K15">
        <v>59.425216815988001</v>
      </c>
    </row>
    <row r="16" spans="1:14">
      <c r="A16">
        <v>3</v>
      </c>
      <c r="B16" t="s">
        <v>12</v>
      </c>
      <c r="C16" t="s">
        <v>122</v>
      </c>
      <c r="D16" t="s">
        <v>132</v>
      </c>
      <c r="E16">
        <v>20</v>
      </c>
      <c r="G16">
        <v>157.5</v>
      </c>
      <c r="H16">
        <v>210</v>
      </c>
      <c r="I16">
        <v>0.92859158900000005</v>
      </c>
      <c r="K16">
        <v>61.231417016941599</v>
      </c>
    </row>
    <row r="17" spans="1:11">
      <c r="A17">
        <v>4</v>
      </c>
      <c r="B17" t="s">
        <v>13</v>
      </c>
      <c r="C17" t="s">
        <v>122</v>
      </c>
      <c r="D17" t="s">
        <v>132</v>
      </c>
      <c r="E17">
        <v>20</v>
      </c>
      <c r="G17">
        <v>210</v>
      </c>
      <c r="H17">
        <v>280</v>
      </c>
      <c r="I17">
        <v>1.0352835659999999</v>
      </c>
    </row>
    <row r="18" spans="1:11">
      <c r="A18">
        <v>5</v>
      </c>
      <c r="B18" t="s">
        <v>14</v>
      </c>
      <c r="C18" t="s">
        <v>122</v>
      </c>
      <c r="D18" t="s">
        <v>132</v>
      </c>
      <c r="E18">
        <v>20</v>
      </c>
      <c r="G18">
        <v>262.5</v>
      </c>
      <c r="H18">
        <v>350</v>
      </c>
      <c r="I18">
        <v>1.0442681540000001</v>
      </c>
      <c r="K18">
        <v>40.431944611097798</v>
      </c>
    </row>
    <row r="19" spans="1:11">
      <c r="A19">
        <v>1</v>
      </c>
      <c r="B19" t="s">
        <v>15</v>
      </c>
      <c r="C19" t="s">
        <v>122</v>
      </c>
      <c r="D19" t="s">
        <v>132</v>
      </c>
      <c r="E19">
        <v>30</v>
      </c>
      <c r="G19">
        <v>87.5</v>
      </c>
      <c r="H19">
        <v>140</v>
      </c>
      <c r="I19">
        <v>0.82330345299999996</v>
      </c>
      <c r="K19">
        <v>49.920295391520199</v>
      </c>
    </row>
    <row r="20" spans="1:11">
      <c r="A20">
        <v>2</v>
      </c>
      <c r="B20" t="s">
        <v>16</v>
      </c>
      <c r="C20" t="s">
        <v>122</v>
      </c>
      <c r="D20" t="s">
        <v>132</v>
      </c>
      <c r="E20">
        <v>30</v>
      </c>
      <c r="G20">
        <v>175</v>
      </c>
      <c r="H20">
        <v>280</v>
      </c>
      <c r="I20">
        <v>0.83858527400000005</v>
      </c>
      <c r="K20">
        <v>55.976865790130702</v>
      </c>
    </row>
    <row r="21" spans="1:11">
      <c r="A21">
        <v>3</v>
      </c>
      <c r="B21" t="s">
        <v>17</v>
      </c>
      <c r="C21" t="s">
        <v>122</v>
      </c>
      <c r="D21" t="s">
        <v>132</v>
      </c>
      <c r="E21">
        <v>30</v>
      </c>
      <c r="G21">
        <v>262.5</v>
      </c>
      <c r="H21">
        <v>420</v>
      </c>
      <c r="I21">
        <v>0.91772184199999995</v>
      </c>
    </row>
    <row r="22" spans="1:11">
      <c r="A22">
        <v>4</v>
      </c>
      <c r="B22" t="s">
        <v>18</v>
      </c>
      <c r="C22" t="s">
        <v>122</v>
      </c>
      <c r="D22" t="s">
        <v>132</v>
      </c>
      <c r="E22">
        <v>30</v>
      </c>
      <c r="G22">
        <v>350</v>
      </c>
      <c r="H22">
        <v>560</v>
      </c>
      <c r="I22">
        <v>0.98638976199999995</v>
      </c>
    </row>
    <row r="23" spans="1:11" ht="13.9" customHeight="1">
      <c r="A23">
        <v>5</v>
      </c>
      <c r="B23" t="s">
        <v>19</v>
      </c>
      <c r="C23" t="s">
        <v>122</v>
      </c>
      <c r="D23" t="s">
        <v>132</v>
      </c>
      <c r="E23">
        <v>30</v>
      </c>
      <c r="G23">
        <v>437.5</v>
      </c>
      <c r="H23">
        <v>700</v>
      </c>
      <c r="I23">
        <v>1.033799505</v>
      </c>
    </row>
    <row r="24" spans="1:11">
      <c r="A24">
        <v>1</v>
      </c>
      <c r="B24" t="s">
        <v>20</v>
      </c>
      <c r="C24" t="s">
        <v>123</v>
      </c>
      <c r="D24" t="s">
        <v>131</v>
      </c>
      <c r="E24">
        <v>20</v>
      </c>
      <c r="G24">
        <v>52.5</v>
      </c>
      <c r="H24">
        <v>70</v>
      </c>
      <c r="I24">
        <v>11.04305411</v>
      </c>
    </row>
    <row r="25" spans="1:11">
      <c r="A25">
        <v>2</v>
      </c>
      <c r="B25" t="s">
        <v>21</v>
      </c>
      <c r="C25" t="s">
        <v>123</v>
      </c>
      <c r="D25" t="s">
        <v>131</v>
      </c>
      <c r="E25">
        <v>20</v>
      </c>
      <c r="G25">
        <v>105</v>
      </c>
      <c r="H25">
        <v>140</v>
      </c>
      <c r="I25">
        <v>15.03306999</v>
      </c>
    </row>
    <row r="26" spans="1:11">
      <c r="A26">
        <v>3</v>
      </c>
      <c r="B26" t="s">
        <v>22</v>
      </c>
      <c r="C26" t="s">
        <v>123</v>
      </c>
      <c r="D26" t="s">
        <v>131</v>
      </c>
      <c r="E26">
        <v>20</v>
      </c>
      <c r="G26">
        <v>157.5</v>
      </c>
      <c r="H26">
        <v>210</v>
      </c>
      <c r="I26">
        <v>21.09596432</v>
      </c>
    </row>
    <row r="27" spans="1:11">
      <c r="A27">
        <v>4</v>
      </c>
      <c r="B27" t="s">
        <v>23</v>
      </c>
      <c r="C27" t="s">
        <v>123</v>
      </c>
      <c r="D27" t="s">
        <v>131</v>
      </c>
      <c r="E27">
        <v>20</v>
      </c>
      <c r="G27">
        <v>210</v>
      </c>
      <c r="H27">
        <v>280</v>
      </c>
      <c r="I27">
        <v>23.902903569999999</v>
      </c>
    </row>
    <row r="28" spans="1:11">
      <c r="A28">
        <v>5</v>
      </c>
      <c r="B28" t="s">
        <v>24</v>
      </c>
      <c r="C28" t="s">
        <v>123</v>
      </c>
      <c r="D28" t="s">
        <v>131</v>
      </c>
      <c r="E28">
        <v>20</v>
      </c>
      <c r="G28">
        <v>262.5</v>
      </c>
      <c r="H28">
        <v>350</v>
      </c>
      <c r="I28">
        <v>28.227719400000002</v>
      </c>
    </row>
    <row r="29" spans="1:11">
      <c r="A29">
        <v>1</v>
      </c>
      <c r="B29" t="s">
        <v>25</v>
      </c>
      <c r="C29" t="s">
        <v>123</v>
      </c>
      <c r="D29" t="s">
        <v>131</v>
      </c>
      <c r="E29">
        <v>30</v>
      </c>
      <c r="G29">
        <v>87.5</v>
      </c>
      <c r="H29">
        <v>140</v>
      </c>
      <c r="I29">
        <v>14.25909343</v>
      </c>
    </row>
    <row r="30" spans="1:11">
      <c r="A30">
        <v>2</v>
      </c>
      <c r="B30" t="s">
        <v>26</v>
      </c>
      <c r="C30" t="s">
        <v>123</v>
      </c>
      <c r="D30" t="s">
        <v>131</v>
      </c>
      <c r="E30">
        <v>30</v>
      </c>
      <c r="G30">
        <v>175</v>
      </c>
      <c r="H30">
        <v>280</v>
      </c>
      <c r="I30">
        <v>18.274171970000001</v>
      </c>
    </row>
    <row r="31" spans="1:11">
      <c r="A31">
        <v>3</v>
      </c>
      <c r="B31" t="s">
        <v>27</v>
      </c>
      <c r="C31" t="s">
        <v>123</v>
      </c>
      <c r="D31" t="s">
        <v>131</v>
      </c>
      <c r="E31">
        <v>30</v>
      </c>
      <c r="G31">
        <v>262.5</v>
      </c>
      <c r="H31">
        <v>420</v>
      </c>
      <c r="I31">
        <v>22.899227069999998</v>
      </c>
    </row>
    <row r="32" spans="1:11">
      <c r="A32">
        <v>4</v>
      </c>
      <c r="B32" t="s">
        <v>28</v>
      </c>
      <c r="C32" t="s">
        <v>123</v>
      </c>
      <c r="D32" t="s">
        <v>131</v>
      </c>
      <c r="E32">
        <v>30</v>
      </c>
      <c r="G32">
        <v>350</v>
      </c>
      <c r="H32">
        <v>560</v>
      </c>
      <c r="I32">
        <v>25.441425710000001</v>
      </c>
    </row>
    <row r="33" spans="1:9">
      <c r="A33">
        <v>5</v>
      </c>
      <c r="B33" t="s">
        <v>29</v>
      </c>
      <c r="C33" t="s">
        <v>123</v>
      </c>
      <c r="D33" t="s">
        <v>131</v>
      </c>
      <c r="E33">
        <v>30</v>
      </c>
      <c r="G33">
        <v>437.5</v>
      </c>
      <c r="H33">
        <v>700</v>
      </c>
      <c r="I33">
        <v>28.004505389999998</v>
      </c>
    </row>
    <row r="34" spans="1:9">
      <c r="A34">
        <v>1</v>
      </c>
      <c r="B34" t="s">
        <v>30</v>
      </c>
      <c r="C34" t="s">
        <v>123</v>
      </c>
      <c r="D34" t="s">
        <v>132</v>
      </c>
      <c r="E34">
        <v>20</v>
      </c>
      <c r="G34">
        <v>52.5</v>
      </c>
      <c r="H34">
        <v>70</v>
      </c>
      <c r="I34">
        <v>8.4746918390000001</v>
      </c>
    </row>
    <row r="35" spans="1:9">
      <c r="A35">
        <v>2</v>
      </c>
      <c r="B35" t="s">
        <v>31</v>
      </c>
      <c r="C35" t="s">
        <v>123</v>
      </c>
      <c r="D35" t="s">
        <v>132</v>
      </c>
      <c r="E35">
        <v>20</v>
      </c>
      <c r="G35">
        <v>105</v>
      </c>
      <c r="H35">
        <v>140</v>
      </c>
      <c r="I35">
        <v>9.6409037529999999</v>
      </c>
    </row>
    <row r="36" spans="1:9">
      <c r="A36">
        <v>3</v>
      </c>
      <c r="B36" t="s">
        <v>32</v>
      </c>
      <c r="C36" t="s">
        <v>123</v>
      </c>
      <c r="D36" t="s">
        <v>132</v>
      </c>
      <c r="E36">
        <v>20</v>
      </c>
      <c r="G36">
        <v>157.5</v>
      </c>
      <c r="H36">
        <v>210</v>
      </c>
      <c r="I36">
        <v>12.773526609999999</v>
      </c>
    </row>
    <row r="37" spans="1:9">
      <c r="A37">
        <v>4</v>
      </c>
      <c r="B37" t="s">
        <v>33</v>
      </c>
      <c r="C37" t="s">
        <v>123</v>
      </c>
      <c r="D37" t="s">
        <v>132</v>
      </c>
      <c r="E37">
        <v>20</v>
      </c>
      <c r="G37">
        <v>210</v>
      </c>
      <c r="H37">
        <v>280</v>
      </c>
      <c r="I37">
        <v>17.484248210000001</v>
      </c>
    </row>
    <row r="38" spans="1:9">
      <c r="A38">
        <v>5</v>
      </c>
      <c r="B38" t="s">
        <v>34</v>
      </c>
      <c r="C38" t="s">
        <v>123</v>
      </c>
      <c r="D38" t="s">
        <v>132</v>
      </c>
      <c r="E38">
        <v>20</v>
      </c>
      <c r="G38">
        <v>262.5</v>
      </c>
      <c r="H38">
        <v>350</v>
      </c>
      <c r="I38">
        <v>20.208826200000001</v>
      </c>
    </row>
    <row r="39" spans="1:9">
      <c r="A39">
        <v>1</v>
      </c>
      <c r="B39" t="s">
        <v>35</v>
      </c>
      <c r="C39" t="s">
        <v>123</v>
      </c>
      <c r="D39" t="s">
        <v>132</v>
      </c>
      <c r="E39">
        <v>30</v>
      </c>
      <c r="G39">
        <v>87.5</v>
      </c>
      <c r="H39">
        <v>140</v>
      </c>
      <c r="I39">
        <v>9.0554387159999994</v>
      </c>
    </row>
    <row r="40" spans="1:9">
      <c r="A40">
        <v>2</v>
      </c>
      <c r="B40" t="s">
        <v>36</v>
      </c>
      <c r="C40" t="s">
        <v>123</v>
      </c>
      <c r="D40" t="s">
        <v>132</v>
      </c>
      <c r="E40">
        <v>30</v>
      </c>
      <c r="G40">
        <v>175</v>
      </c>
      <c r="H40">
        <v>280</v>
      </c>
      <c r="I40">
        <v>10.44868413</v>
      </c>
    </row>
    <row r="41" spans="1:9">
      <c r="A41">
        <v>3</v>
      </c>
      <c r="B41" t="s">
        <v>37</v>
      </c>
      <c r="C41" t="s">
        <v>123</v>
      </c>
      <c r="D41" t="s">
        <v>132</v>
      </c>
      <c r="E41">
        <v>30</v>
      </c>
      <c r="G41">
        <v>262.5</v>
      </c>
      <c r="H41">
        <v>420</v>
      </c>
      <c r="I41">
        <v>14.383866129999999</v>
      </c>
    </row>
    <row r="42" spans="1:9">
      <c r="A42">
        <v>4</v>
      </c>
      <c r="B42" t="s">
        <v>38</v>
      </c>
      <c r="C42" t="s">
        <v>123</v>
      </c>
      <c r="D42" t="s">
        <v>132</v>
      </c>
      <c r="E42">
        <v>30</v>
      </c>
      <c r="G42">
        <v>350</v>
      </c>
      <c r="H42">
        <v>560</v>
      </c>
      <c r="I42">
        <v>18.219072019999999</v>
      </c>
    </row>
    <row r="43" spans="1:9">
      <c r="A43">
        <v>5</v>
      </c>
      <c r="B43" t="s">
        <v>39</v>
      </c>
      <c r="C43" t="s">
        <v>123</v>
      </c>
      <c r="D43" t="s">
        <v>132</v>
      </c>
      <c r="E43">
        <v>30</v>
      </c>
      <c r="G43">
        <v>437.5</v>
      </c>
      <c r="H43">
        <v>700</v>
      </c>
      <c r="I43">
        <v>20.865884919999999</v>
      </c>
    </row>
    <row r="44" spans="1:9">
      <c r="A44">
        <v>1</v>
      </c>
      <c r="B44" t="s">
        <v>40</v>
      </c>
      <c r="C44" t="s">
        <v>124</v>
      </c>
      <c r="D44" t="s">
        <v>131</v>
      </c>
      <c r="E44">
        <v>20</v>
      </c>
      <c r="G44">
        <v>52.5</v>
      </c>
      <c r="H44">
        <v>70</v>
      </c>
      <c r="I44">
        <v>2.7369032619999998</v>
      </c>
    </row>
    <row r="45" spans="1:9">
      <c r="A45">
        <v>2</v>
      </c>
      <c r="B45" t="s">
        <v>41</v>
      </c>
      <c r="C45" t="s">
        <v>124</v>
      </c>
      <c r="D45" t="s">
        <v>131</v>
      </c>
      <c r="E45">
        <v>20</v>
      </c>
      <c r="G45">
        <v>105</v>
      </c>
      <c r="H45">
        <v>140</v>
      </c>
      <c r="I45">
        <v>2.8730228740000001</v>
      </c>
    </row>
    <row r="46" spans="1:9">
      <c r="A46">
        <v>3</v>
      </c>
      <c r="B46" t="s">
        <v>42</v>
      </c>
      <c r="C46" t="s">
        <v>124</v>
      </c>
      <c r="D46" t="s">
        <v>131</v>
      </c>
      <c r="E46">
        <v>20</v>
      </c>
      <c r="G46">
        <v>157.5</v>
      </c>
      <c r="H46">
        <v>210</v>
      </c>
      <c r="I46">
        <v>3.0389919079999999</v>
      </c>
    </row>
    <row r="47" spans="1:9">
      <c r="A47">
        <v>4</v>
      </c>
      <c r="B47" t="s">
        <v>43</v>
      </c>
      <c r="C47" t="s">
        <v>124</v>
      </c>
      <c r="D47" t="s">
        <v>131</v>
      </c>
      <c r="E47">
        <v>20</v>
      </c>
      <c r="G47">
        <v>210</v>
      </c>
      <c r="H47">
        <v>280</v>
      </c>
      <c r="I47">
        <v>3.107598694</v>
      </c>
    </row>
    <row r="48" spans="1:9">
      <c r="A48">
        <v>5</v>
      </c>
      <c r="B48" t="s">
        <v>44</v>
      </c>
      <c r="C48" t="s">
        <v>124</v>
      </c>
      <c r="D48" t="s">
        <v>131</v>
      </c>
      <c r="E48">
        <v>20</v>
      </c>
      <c r="G48">
        <v>262.5</v>
      </c>
      <c r="H48">
        <v>350</v>
      </c>
      <c r="I48">
        <v>3.2185572759999999</v>
      </c>
    </row>
    <row r="49" spans="1:9">
      <c r="A49">
        <v>1</v>
      </c>
      <c r="B49" t="s">
        <v>45</v>
      </c>
      <c r="C49" t="s">
        <v>124</v>
      </c>
      <c r="D49" t="s">
        <v>131</v>
      </c>
      <c r="E49">
        <v>30</v>
      </c>
      <c r="G49">
        <v>87.5</v>
      </c>
      <c r="H49">
        <v>140</v>
      </c>
      <c r="I49">
        <v>3.0621213030000001</v>
      </c>
    </row>
    <row r="50" spans="1:9">
      <c r="A50">
        <v>2</v>
      </c>
      <c r="B50" t="s">
        <v>46</v>
      </c>
      <c r="C50" t="s">
        <v>124</v>
      </c>
      <c r="D50" t="s">
        <v>131</v>
      </c>
      <c r="E50">
        <v>30</v>
      </c>
      <c r="G50">
        <v>175</v>
      </c>
      <c r="H50">
        <v>280</v>
      </c>
      <c r="I50">
        <v>3.3076367009999998</v>
      </c>
    </row>
    <row r="51" spans="1:9">
      <c r="A51">
        <v>3</v>
      </c>
      <c r="B51" t="s">
        <v>47</v>
      </c>
      <c r="C51" t="s">
        <v>124</v>
      </c>
      <c r="D51" t="s">
        <v>131</v>
      </c>
      <c r="E51">
        <v>30</v>
      </c>
      <c r="G51">
        <v>262.5</v>
      </c>
      <c r="H51">
        <v>420</v>
      </c>
      <c r="I51">
        <v>3.5284599069999998</v>
      </c>
    </row>
    <row r="52" spans="1:9">
      <c r="A52">
        <v>4</v>
      </c>
      <c r="B52" t="s">
        <v>48</v>
      </c>
      <c r="C52" t="s">
        <v>124</v>
      </c>
      <c r="D52" t="s">
        <v>131</v>
      </c>
      <c r="E52">
        <v>30</v>
      </c>
      <c r="G52">
        <v>350</v>
      </c>
      <c r="H52">
        <v>560</v>
      </c>
      <c r="I52">
        <v>3.7027117650000001</v>
      </c>
    </row>
    <row r="53" spans="1:9">
      <c r="A53">
        <v>5</v>
      </c>
      <c r="B53" t="s">
        <v>49</v>
      </c>
      <c r="C53" t="s">
        <v>124</v>
      </c>
      <c r="D53" t="s">
        <v>131</v>
      </c>
      <c r="E53">
        <v>30</v>
      </c>
      <c r="G53">
        <v>437.5</v>
      </c>
      <c r="H53">
        <v>700</v>
      </c>
      <c r="I53">
        <v>3.754752903</v>
      </c>
    </row>
    <row r="54" spans="1:9">
      <c r="A54">
        <v>1</v>
      </c>
      <c r="B54" t="s">
        <v>50</v>
      </c>
      <c r="C54" t="s">
        <v>124</v>
      </c>
      <c r="D54" t="s">
        <v>132</v>
      </c>
      <c r="E54">
        <v>20</v>
      </c>
      <c r="G54">
        <v>52.5</v>
      </c>
      <c r="H54">
        <v>70</v>
      </c>
      <c r="I54">
        <v>2.7665964029999999</v>
      </c>
    </row>
    <row r="55" spans="1:9">
      <c r="A55">
        <v>2</v>
      </c>
      <c r="B55" t="s">
        <v>51</v>
      </c>
      <c r="C55" t="s">
        <v>124</v>
      </c>
      <c r="D55" t="s">
        <v>132</v>
      </c>
      <c r="E55">
        <v>20</v>
      </c>
      <c r="G55">
        <v>105</v>
      </c>
      <c r="H55">
        <v>140</v>
      </c>
      <c r="I55">
        <v>2.8434860120000001</v>
      </c>
    </row>
    <row r="56" spans="1:9">
      <c r="A56">
        <v>3</v>
      </c>
      <c r="B56" t="s">
        <v>52</v>
      </c>
      <c r="C56" t="s">
        <v>124</v>
      </c>
      <c r="D56" t="s">
        <v>132</v>
      </c>
      <c r="E56">
        <v>20</v>
      </c>
      <c r="G56">
        <v>157.5</v>
      </c>
      <c r="H56">
        <v>210</v>
      </c>
      <c r="I56">
        <v>2.9713228009999999</v>
      </c>
    </row>
    <row r="57" spans="1:9">
      <c r="A57">
        <v>4</v>
      </c>
      <c r="B57" t="s">
        <v>53</v>
      </c>
      <c r="C57" t="s">
        <v>124</v>
      </c>
      <c r="D57" t="s">
        <v>132</v>
      </c>
      <c r="E57">
        <v>20</v>
      </c>
      <c r="G57">
        <v>210</v>
      </c>
      <c r="H57">
        <v>280</v>
      </c>
      <c r="I57">
        <v>3.0819688240000001</v>
      </c>
    </row>
    <row r="58" spans="1:9">
      <c r="A58">
        <v>5</v>
      </c>
      <c r="B58" t="s">
        <v>54</v>
      </c>
      <c r="C58" t="s">
        <v>124</v>
      </c>
      <c r="D58" t="s">
        <v>132</v>
      </c>
      <c r="E58">
        <v>20</v>
      </c>
      <c r="G58">
        <v>262.5</v>
      </c>
      <c r="H58">
        <v>350</v>
      </c>
      <c r="I58">
        <v>3.1718296480000001</v>
      </c>
    </row>
    <row r="59" spans="1:9">
      <c r="A59">
        <v>1</v>
      </c>
      <c r="B59" t="s">
        <v>55</v>
      </c>
      <c r="C59" t="s">
        <v>124</v>
      </c>
      <c r="D59" t="s">
        <v>132</v>
      </c>
      <c r="E59">
        <v>30</v>
      </c>
      <c r="G59">
        <v>87.5</v>
      </c>
      <c r="H59">
        <v>140</v>
      </c>
      <c r="I59">
        <v>2.8380162229999999</v>
      </c>
    </row>
    <row r="60" spans="1:9">
      <c r="A60">
        <v>2</v>
      </c>
      <c r="B60" t="s">
        <v>56</v>
      </c>
      <c r="C60" t="s">
        <v>124</v>
      </c>
      <c r="D60" t="s">
        <v>132</v>
      </c>
      <c r="E60">
        <v>30</v>
      </c>
      <c r="G60">
        <v>175</v>
      </c>
      <c r="H60">
        <v>280</v>
      </c>
      <c r="I60">
        <v>2.974292116</v>
      </c>
    </row>
    <row r="61" spans="1:9">
      <c r="A61">
        <v>3</v>
      </c>
      <c r="B61" t="s">
        <v>57</v>
      </c>
      <c r="C61" t="s">
        <v>124</v>
      </c>
      <c r="D61" t="s">
        <v>132</v>
      </c>
      <c r="E61">
        <v>30</v>
      </c>
      <c r="G61">
        <v>262.5</v>
      </c>
      <c r="H61">
        <v>420</v>
      </c>
      <c r="I61">
        <v>3.1404174290000002</v>
      </c>
    </row>
    <row r="62" spans="1:9">
      <c r="A62">
        <v>4</v>
      </c>
      <c r="B62" t="s">
        <v>58</v>
      </c>
      <c r="C62" t="s">
        <v>124</v>
      </c>
      <c r="D62" t="s">
        <v>132</v>
      </c>
      <c r="E62">
        <v>30</v>
      </c>
      <c r="G62">
        <v>350</v>
      </c>
      <c r="H62">
        <v>560</v>
      </c>
      <c r="I62">
        <v>3.3437373099999999</v>
      </c>
    </row>
    <row r="63" spans="1:9">
      <c r="A63">
        <v>5</v>
      </c>
      <c r="B63" t="s">
        <v>59</v>
      </c>
      <c r="C63" t="s">
        <v>124</v>
      </c>
      <c r="D63" t="s">
        <v>132</v>
      </c>
      <c r="E63">
        <v>30</v>
      </c>
      <c r="G63">
        <v>437.5</v>
      </c>
      <c r="H63">
        <v>700</v>
      </c>
      <c r="I63">
        <v>3.4254715899999999</v>
      </c>
    </row>
    <row r="64" spans="1:9">
      <c r="A64">
        <v>1</v>
      </c>
      <c r="B64" t="s">
        <v>60</v>
      </c>
      <c r="C64" t="s">
        <v>125</v>
      </c>
      <c r="D64" t="s">
        <v>131</v>
      </c>
      <c r="E64">
        <v>20</v>
      </c>
      <c r="G64">
        <v>52.5</v>
      </c>
      <c r="H64">
        <v>70</v>
      </c>
      <c r="I64">
        <v>2.3582183999999999E-2</v>
      </c>
    </row>
    <row r="65" spans="1:9">
      <c r="A65">
        <v>2</v>
      </c>
      <c r="B65" t="s">
        <v>61</v>
      </c>
      <c r="C65" t="s">
        <v>125</v>
      </c>
      <c r="D65" t="s">
        <v>131</v>
      </c>
      <c r="E65">
        <v>20</v>
      </c>
      <c r="G65">
        <v>105</v>
      </c>
      <c r="H65">
        <v>140</v>
      </c>
      <c r="I65">
        <v>1.9714518E-2</v>
      </c>
    </row>
    <row r="66" spans="1:9">
      <c r="A66">
        <v>3</v>
      </c>
      <c r="B66" t="s">
        <v>62</v>
      </c>
      <c r="C66" t="s">
        <v>125</v>
      </c>
      <c r="D66" t="s">
        <v>131</v>
      </c>
      <c r="E66">
        <v>20</v>
      </c>
      <c r="G66">
        <v>157.5</v>
      </c>
      <c r="H66">
        <v>210</v>
      </c>
      <c r="I66">
        <v>1.5680843999999999E-2</v>
      </c>
    </row>
    <row r="67" spans="1:9">
      <c r="A67">
        <v>4</v>
      </c>
      <c r="B67" t="s">
        <v>63</v>
      </c>
      <c r="C67" t="s">
        <v>125</v>
      </c>
      <c r="D67" t="s">
        <v>131</v>
      </c>
      <c r="E67">
        <v>20</v>
      </c>
      <c r="G67">
        <v>210</v>
      </c>
      <c r="H67">
        <v>280</v>
      </c>
      <c r="I67">
        <v>1.3845266E-2</v>
      </c>
    </row>
    <row r="68" spans="1:9">
      <c r="A68">
        <v>5</v>
      </c>
      <c r="B68" t="s">
        <v>64</v>
      </c>
      <c r="C68" t="s">
        <v>125</v>
      </c>
      <c r="D68" t="s">
        <v>131</v>
      </c>
      <c r="E68">
        <v>20</v>
      </c>
      <c r="G68">
        <v>262.5</v>
      </c>
      <c r="H68">
        <v>350</v>
      </c>
      <c r="I68">
        <v>1.2893315000000001E-2</v>
      </c>
    </row>
    <row r="69" spans="1:9">
      <c r="A69">
        <v>1</v>
      </c>
      <c r="B69" t="s">
        <v>65</v>
      </c>
      <c r="C69" t="s">
        <v>125</v>
      </c>
      <c r="D69" t="s">
        <v>131</v>
      </c>
      <c r="E69">
        <v>30</v>
      </c>
      <c r="G69">
        <v>87.5</v>
      </c>
      <c r="H69">
        <v>140</v>
      </c>
      <c r="I69">
        <v>1.3956527E-2</v>
      </c>
    </row>
    <row r="70" spans="1:9">
      <c r="A70">
        <v>2</v>
      </c>
      <c r="B70" t="s">
        <v>66</v>
      </c>
      <c r="C70" t="s">
        <v>125</v>
      </c>
      <c r="D70" t="s">
        <v>131</v>
      </c>
      <c r="E70">
        <v>30</v>
      </c>
      <c r="G70">
        <v>175</v>
      </c>
      <c r="H70">
        <v>280</v>
      </c>
      <c r="I70">
        <v>8.3617970000000007E-3</v>
      </c>
    </row>
    <row r="71" spans="1:9">
      <c r="A71">
        <v>3</v>
      </c>
      <c r="B71" t="s">
        <v>67</v>
      </c>
      <c r="C71" t="s">
        <v>125</v>
      </c>
      <c r="D71" t="s">
        <v>131</v>
      </c>
      <c r="E71">
        <v>30</v>
      </c>
      <c r="G71">
        <v>262.5</v>
      </c>
      <c r="H71">
        <v>420</v>
      </c>
      <c r="I71">
        <v>6.3141769999999998E-3</v>
      </c>
    </row>
    <row r="72" spans="1:9">
      <c r="A72">
        <v>4</v>
      </c>
      <c r="B72" t="s">
        <v>68</v>
      </c>
      <c r="C72" t="s">
        <v>125</v>
      </c>
      <c r="D72" t="s">
        <v>131</v>
      </c>
      <c r="E72">
        <v>30</v>
      </c>
      <c r="G72">
        <v>350</v>
      </c>
      <c r="H72">
        <v>560</v>
      </c>
      <c r="I72">
        <v>5.9185740000000002E-3</v>
      </c>
    </row>
    <row r="73" spans="1:9">
      <c r="A73">
        <v>5</v>
      </c>
      <c r="B73" t="s">
        <v>69</v>
      </c>
      <c r="C73" t="s">
        <v>125</v>
      </c>
      <c r="D73" t="s">
        <v>131</v>
      </c>
      <c r="E73">
        <v>30</v>
      </c>
      <c r="G73">
        <v>437.5</v>
      </c>
      <c r="H73">
        <v>700</v>
      </c>
      <c r="I73">
        <v>5.712155E-3</v>
      </c>
    </row>
    <row r="74" spans="1:9">
      <c r="A74">
        <v>1</v>
      </c>
      <c r="B74" t="s">
        <v>70</v>
      </c>
      <c r="C74" t="s">
        <v>125</v>
      </c>
      <c r="D74" t="s">
        <v>132</v>
      </c>
      <c r="E74">
        <v>20</v>
      </c>
      <c r="G74">
        <v>52.5</v>
      </c>
      <c r="H74">
        <v>70</v>
      </c>
      <c r="I74">
        <v>2.3475356999999999E-2</v>
      </c>
    </row>
    <row r="75" spans="1:9">
      <c r="A75">
        <v>2</v>
      </c>
      <c r="B75" t="s">
        <v>71</v>
      </c>
      <c r="C75" t="s">
        <v>125</v>
      </c>
      <c r="D75" t="s">
        <v>132</v>
      </c>
      <c r="E75">
        <v>20</v>
      </c>
      <c r="G75">
        <v>105</v>
      </c>
      <c r="H75">
        <v>140</v>
      </c>
      <c r="I75">
        <v>2.0049417E-2</v>
      </c>
    </row>
    <row r="76" spans="1:9">
      <c r="A76">
        <v>3</v>
      </c>
      <c r="B76" t="s">
        <v>72</v>
      </c>
      <c r="C76" t="s">
        <v>125</v>
      </c>
      <c r="D76" t="s">
        <v>132</v>
      </c>
      <c r="E76">
        <v>20</v>
      </c>
      <c r="G76">
        <v>157.5</v>
      </c>
      <c r="H76">
        <v>210</v>
      </c>
      <c r="I76">
        <v>1.7067939000000001E-2</v>
      </c>
    </row>
    <row r="77" spans="1:9">
      <c r="A77">
        <v>4</v>
      </c>
      <c r="B77" t="s">
        <v>73</v>
      </c>
      <c r="C77" t="s">
        <v>125</v>
      </c>
      <c r="D77" t="s">
        <v>132</v>
      </c>
      <c r="E77">
        <v>20</v>
      </c>
      <c r="G77">
        <v>210</v>
      </c>
      <c r="H77">
        <v>280</v>
      </c>
      <c r="I77">
        <v>1.5746721000000002E-2</v>
      </c>
    </row>
    <row r="78" spans="1:9">
      <c r="A78">
        <v>5</v>
      </c>
      <c r="B78" t="s">
        <v>74</v>
      </c>
      <c r="C78" t="s">
        <v>125</v>
      </c>
      <c r="D78" t="s">
        <v>132</v>
      </c>
      <c r="E78">
        <v>20</v>
      </c>
      <c r="G78">
        <v>262.5</v>
      </c>
      <c r="H78">
        <v>350</v>
      </c>
      <c r="I78">
        <v>1.3127153000000001E-2</v>
      </c>
    </row>
    <row r="79" spans="1:9">
      <c r="A79">
        <v>1</v>
      </c>
      <c r="B79" t="s">
        <v>75</v>
      </c>
      <c r="C79" t="s">
        <v>125</v>
      </c>
      <c r="D79" t="s">
        <v>132</v>
      </c>
      <c r="E79">
        <v>30</v>
      </c>
      <c r="G79">
        <v>87.5</v>
      </c>
      <c r="H79">
        <v>140</v>
      </c>
      <c r="I79">
        <v>2.122748E-2</v>
      </c>
    </row>
    <row r="80" spans="1:9">
      <c r="A80">
        <v>2</v>
      </c>
      <c r="B80" t="s">
        <v>76</v>
      </c>
      <c r="C80" t="s">
        <v>125</v>
      </c>
      <c r="D80" t="s">
        <v>132</v>
      </c>
      <c r="E80">
        <v>30</v>
      </c>
      <c r="G80">
        <v>175</v>
      </c>
      <c r="H80">
        <v>280</v>
      </c>
      <c r="I80">
        <v>1.6599303999999999E-2</v>
      </c>
    </row>
    <row r="81" spans="1:9">
      <c r="A81">
        <v>3</v>
      </c>
      <c r="B81" t="s">
        <v>77</v>
      </c>
      <c r="C81" t="s">
        <v>125</v>
      </c>
      <c r="D81" t="s">
        <v>132</v>
      </c>
      <c r="E81">
        <v>30</v>
      </c>
      <c r="G81">
        <v>262.5</v>
      </c>
      <c r="H81">
        <v>420</v>
      </c>
      <c r="I81">
        <v>1.2666749999999999E-2</v>
      </c>
    </row>
    <row r="82" spans="1:9">
      <c r="A82">
        <v>4</v>
      </c>
      <c r="B82" t="s">
        <v>78</v>
      </c>
      <c r="C82" t="s">
        <v>125</v>
      </c>
      <c r="D82" t="s">
        <v>132</v>
      </c>
      <c r="E82">
        <v>30</v>
      </c>
      <c r="G82">
        <v>350</v>
      </c>
      <c r="H82">
        <v>560</v>
      </c>
      <c r="I82">
        <v>9.185548E-3</v>
      </c>
    </row>
    <row r="83" spans="1:9">
      <c r="A83">
        <v>5</v>
      </c>
      <c r="B83" t="s">
        <v>79</v>
      </c>
      <c r="C83" t="s">
        <v>125</v>
      </c>
      <c r="D83" t="s">
        <v>132</v>
      </c>
      <c r="E83">
        <v>30</v>
      </c>
      <c r="G83">
        <v>437.5</v>
      </c>
      <c r="H83">
        <v>700</v>
      </c>
      <c r="I83">
        <v>7.3532129999999999E-3</v>
      </c>
    </row>
    <row r="84" spans="1:9">
      <c r="A84">
        <v>1</v>
      </c>
      <c r="B84" t="s">
        <v>80</v>
      </c>
      <c r="C84" t="s">
        <v>126</v>
      </c>
      <c r="D84" t="s">
        <v>131</v>
      </c>
      <c r="E84">
        <v>20</v>
      </c>
      <c r="G84">
        <v>52.5</v>
      </c>
      <c r="H84">
        <v>70</v>
      </c>
      <c r="I84">
        <v>1.3814776000000001E-2</v>
      </c>
    </row>
    <row r="85" spans="1:9">
      <c r="A85">
        <v>2</v>
      </c>
      <c r="B85" t="s">
        <v>81</v>
      </c>
      <c r="C85" t="s">
        <v>126</v>
      </c>
      <c r="D85" t="s">
        <v>131</v>
      </c>
      <c r="E85">
        <v>20</v>
      </c>
      <c r="G85">
        <v>105</v>
      </c>
      <c r="H85">
        <v>140</v>
      </c>
      <c r="I85">
        <v>1.1722807E-2</v>
      </c>
    </row>
    <row r="86" spans="1:9">
      <c r="A86">
        <v>3</v>
      </c>
      <c r="B86" t="s">
        <v>82</v>
      </c>
      <c r="C86" t="s">
        <v>126</v>
      </c>
      <c r="D86" t="s">
        <v>131</v>
      </c>
      <c r="E86">
        <v>20</v>
      </c>
      <c r="G86">
        <v>157.5</v>
      </c>
      <c r="H86">
        <v>210</v>
      </c>
      <c r="I86">
        <v>8.3730360000000004E-3</v>
      </c>
    </row>
    <row r="87" spans="1:9">
      <c r="A87">
        <v>4</v>
      </c>
      <c r="B87" t="s">
        <v>83</v>
      </c>
      <c r="C87" t="s">
        <v>126</v>
      </c>
      <c r="D87" t="s">
        <v>131</v>
      </c>
      <c r="E87">
        <v>20</v>
      </c>
      <c r="G87">
        <v>210</v>
      </c>
      <c r="H87">
        <v>280</v>
      </c>
      <c r="I87">
        <v>6.2354699999999999E-3</v>
      </c>
    </row>
    <row r="88" spans="1:9">
      <c r="A88">
        <v>5</v>
      </c>
      <c r="B88" t="s">
        <v>84</v>
      </c>
      <c r="C88" t="s">
        <v>126</v>
      </c>
      <c r="D88" t="s">
        <v>131</v>
      </c>
      <c r="E88">
        <v>20</v>
      </c>
      <c r="G88">
        <v>262.5</v>
      </c>
      <c r="H88">
        <v>350</v>
      </c>
      <c r="I88">
        <v>6.080879E-3</v>
      </c>
    </row>
    <row r="89" spans="1:9">
      <c r="A89">
        <v>1</v>
      </c>
      <c r="B89" t="s">
        <v>85</v>
      </c>
      <c r="C89" t="s">
        <v>126</v>
      </c>
      <c r="D89" t="s">
        <v>131</v>
      </c>
      <c r="E89">
        <v>30</v>
      </c>
      <c r="G89">
        <v>87.5</v>
      </c>
      <c r="H89">
        <v>140</v>
      </c>
      <c r="I89">
        <v>6.9883979999999998E-3</v>
      </c>
    </row>
    <row r="90" spans="1:9">
      <c r="A90">
        <v>2</v>
      </c>
      <c r="B90" t="s">
        <v>86</v>
      </c>
      <c r="C90" t="s">
        <v>126</v>
      </c>
      <c r="D90" t="s">
        <v>131</v>
      </c>
      <c r="E90">
        <v>30</v>
      </c>
      <c r="G90">
        <v>175</v>
      </c>
      <c r="H90">
        <v>280</v>
      </c>
      <c r="I90">
        <v>4.1782140000000004E-3</v>
      </c>
    </row>
    <row r="91" spans="1:9">
      <c r="A91">
        <v>3</v>
      </c>
      <c r="B91" t="s">
        <v>87</v>
      </c>
      <c r="C91" t="s">
        <v>126</v>
      </c>
      <c r="D91" t="s">
        <v>131</v>
      </c>
      <c r="E91">
        <v>30</v>
      </c>
      <c r="G91">
        <v>262.5</v>
      </c>
      <c r="H91">
        <v>420</v>
      </c>
      <c r="I91">
        <v>2.6396929999999998E-3</v>
      </c>
    </row>
    <row r="92" spans="1:9">
      <c r="A92">
        <v>4</v>
      </c>
      <c r="B92" t="s">
        <v>88</v>
      </c>
      <c r="C92" t="s">
        <v>126</v>
      </c>
      <c r="D92" t="s">
        <v>131</v>
      </c>
      <c r="E92">
        <v>30</v>
      </c>
      <c r="G92">
        <v>350</v>
      </c>
      <c r="H92">
        <v>560</v>
      </c>
      <c r="I92">
        <v>1.780055E-3</v>
      </c>
    </row>
    <row r="93" spans="1:9">
      <c r="A93">
        <v>5</v>
      </c>
      <c r="B93" t="s">
        <v>89</v>
      </c>
      <c r="C93" t="s">
        <v>126</v>
      </c>
      <c r="D93" t="s">
        <v>131</v>
      </c>
      <c r="E93">
        <v>30</v>
      </c>
      <c r="G93">
        <v>437.5</v>
      </c>
      <c r="H93">
        <v>700</v>
      </c>
      <c r="I93">
        <v>1.330216E-3</v>
      </c>
    </row>
    <row r="94" spans="1:9">
      <c r="A94">
        <v>1</v>
      </c>
      <c r="B94" t="s">
        <v>90</v>
      </c>
      <c r="C94" t="s">
        <v>126</v>
      </c>
      <c r="D94" t="s">
        <v>132</v>
      </c>
      <c r="E94">
        <v>20</v>
      </c>
      <c r="G94">
        <v>52.5</v>
      </c>
      <c r="H94">
        <v>70</v>
      </c>
      <c r="I94">
        <v>1.3768297000000001E-2</v>
      </c>
    </row>
    <row r="95" spans="1:9">
      <c r="A95">
        <v>2</v>
      </c>
      <c r="B95" t="s">
        <v>91</v>
      </c>
      <c r="C95" t="s">
        <v>126</v>
      </c>
      <c r="D95" t="s">
        <v>132</v>
      </c>
      <c r="E95">
        <v>20</v>
      </c>
      <c r="G95">
        <v>105</v>
      </c>
      <c r="H95">
        <v>140</v>
      </c>
      <c r="I95">
        <v>1.1745934E-2</v>
      </c>
    </row>
    <row r="96" spans="1:9">
      <c r="A96">
        <v>3</v>
      </c>
      <c r="B96" t="s">
        <v>92</v>
      </c>
      <c r="C96" t="s">
        <v>126</v>
      </c>
      <c r="D96" t="s">
        <v>132</v>
      </c>
      <c r="E96">
        <v>20</v>
      </c>
      <c r="G96">
        <v>157.5</v>
      </c>
      <c r="H96">
        <v>210</v>
      </c>
      <c r="I96">
        <v>9.2598090000000008E-3</v>
      </c>
    </row>
    <row r="97" spans="1:9">
      <c r="A97">
        <v>4</v>
      </c>
      <c r="B97" t="s">
        <v>93</v>
      </c>
      <c r="C97" t="s">
        <v>126</v>
      </c>
      <c r="D97" t="s">
        <v>132</v>
      </c>
      <c r="E97">
        <v>20</v>
      </c>
      <c r="G97">
        <v>210</v>
      </c>
      <c r="H97">
        <v>280</v>
      </c>
      <c r="I97">
        <v>8.5454889999999999E-3</v>
      </c>
    </row>
    <row r="98" spans="1:9">
      <c r="A98">
        <v>5</v>
      </c>
      <c r="B98" t="s">
        <v>94</v>
      </c>
      <c r="C98" t="s">
        <v>126</v>
      </c>
      <c r="D98" t="s">
        <v>132</v>
      </c>
      <c r="E98">
        <v>20</v>
      </c>
      <c r="G98">
        <v>262.5</v>
      </c>
      <c r="H98">
        <v>350</v>
      </c>
      <c r="I98">
        <v>7.0981029999999997E-3</v>
      </c>
    </row>
    <row r="99" spans="1:9">
      <c r="A99">
        <v>1</v>
      </c>
      <c r="B99" t="s">
        <v>95</v>
      </c>
      <c r="C99" t="s">
        <v>126</v>
      </c>
      <c r="D99" t="s">
        <v>132</v>
      </c>
      <c r="E99">
        <v>30</v>
      </c>
      <c r="G99">
        <v>87.5</v>
      </c>
      <c r="H99">
        <v>140</v>
      </c>
      <c r="I99">
        <v>1.160275E-2</v>
      </c>
    </row>
    <row r="100" spans="1:9">
      <c r="A100">
        <v>2</v>
      </c>
      <c r="B100" t="s">
        <v>96</v>
      </c>
      <c r="C100" t="s">
        <v>126</v>
      </c>
      <c r="D100" t="s">
        <v>132</v>
      </c>
      <c r="E100">
        <v>30</v>
      </c>
      <c r="G100">
        <v>175</v>
      </c>
      <c r="H100">
        <v>280</v>
      </c>
      <c r="I100">
        <v>9.5841329999999999E-3</v>
      </c>
    </row>
    <row r="101" spans="1:9">
      <c r="A101">
        <v>3</v>
      </c>
      <c r="B101" t="s">
        <v>97</v>
      </c>
      <c r="C101" t="s">
        <v>126</v>
      </c>
      <c r="D101" t="s">
        <v>132</v>
      </c>
      <c r="E101">
        <v>30</v>
      </c>
      <c r="G101">
        <v>262.5</v>
      </c>
      <c r="H101">
        <v>420</v>
      </c>
      <c r="I101">
        <v>6.8524739999999999E-3</v>
      </c>
    </row>
    <row r="102" spans="1:9">
      <c r="A102">
        <v>4</v>
      </c>
      <c r="B102" t="s">
        <v>98</v>
      </c>
      <c r="C102" t="s">
        <v>126</v>
      </c>
      <c r="D102" t="s">
        <v>132</v>
      </c>
      <c r="E102">
        <v>30</v>
      </c>
      <c r="G102">
        <v>350</v>
      </c>
      <c r="H102">
        <v>560</v>
      </c>
      <c r="I102">
        <v>4.3968719999999996E-3</v>
      </c>
    </row>
    <row r="103" spans="1:9">
      <c r="A103">
        <v>5</v>
      </c>
      <c r="B103" t="s">
        <v>99</v>
      </c>
      <c r="C103" t="s">
        <v>126</v>
      </c>
      <c r="D103" t="s">
        <v>132</v>
      </c>
      <c r="E103">
        <v>30</v>
      </c>
      <c r="G103">
        <v>437.5</v>
      </c>
      <c r="H103">
        <v>700</v>
      </c>
      <c r="I103">
        <v>2.9234230000000001E-3</v>
      </c>
    </row>
    <row r="104" spans="1:9">
      <c r="A104">
        <v>1</v>
      </c>
      <c r="B104" t="s">
        <v>100</v>
      </c>
      <c r="C104" t="s">
        <v>127</v>
      </c>
      <c r="D104" t="s">
        <v>131</v>
      </c>
      <c r="E104">
        <v>20</v>
      </c>
      <c r="G104">
        <v>52.5</v>
      </c>
      <c r="H104">
        <v>70</v>
      </c>
      <c r="I104">
        <v>1.1536016E-2</v>
      </c>
    </row>
    <row r="105" spans="1:9">
      <c r="A105">
        <v>2</v>
      </c>
      <c r="B105" t="s">
        <v>101</v>
      </c>
      <c r="C105" t="s">
        <v>127</v>
      </c>
      <c r="D105" t="s">
        <v>131</v>
      </c>
      <c r="E105">
        <v>20</v>
      </c>
      <c r="G105">
        <v>105</v>
      </c>
      <c r="H105">
        <v>140</v>
      </c>
      <c r="I105">
        <v>1.1972511E-2</v>
      </c>
    </row>
    <row r="106" spans="1:9">
      <c r="A106">
        <v>3</v>
      </c>
      <c r="B106" t="s">
        <v>102</v>
      </c>
      <c r="C106" t="s">
        <v>127</v>
      </c>
      <c r="D106" t="s">
        <v>131</v>
      </c>
      <c r="E106">
        <v>20</v>
      </c>
      <c r="G106">
        <v>157.5</v>
      </c>
      <c r="H106">
        <v>210</v>
      </c>
      <c r="I106">
        <v>1.1696415E-2</v>
      </c>
    </row>
    <row r="107" spans="1:9">
      <c r="A107">
        <v>4</v>
      </c>
      <c r="B107" t="s">
        <v>103</v>
      </c>
      <c r="C107" t="s">
        <v>127</v>
      </c>
      <c r="D107" t="s">
        <v>131</v>
      </c>
      <c r="E107">
        <v>20</v>
      </c>
      <c r="G107">
        <v>210</v>
      </c>
      <c r="H107">
        <v>280</v>
      </c>
      <c r="I107">
        <v>1.0651999000000001E-2</v>
      </c>
    </row>
    <row r="108" spans="1:9">
      <c r="A108">
        <v>5</v>
      </c>
      <c r="B108" t="s">
        <v>104</v>
      </c>
      <c r="C108" t="s">
        <v>127</v>
      </c>
      <c r="D108" t="s">
        <v>131</v>
      </c>
      <c r="E108">
        <v>20</v>
      </c>
      <c r="G108">
        <v>262.5</v>
      </c>
      <c r="H108">
        <v>350</v>
      </c>
      <c r="I108">
        <v>1.0898569E-2</v>
      </c>
    </row>
    <row r="109" spans="1:9">
      <c r="A109">
        <v>1</v>
      </c>
      <c r="B109" t="s">
        <v>105</v>
      </c>
      <c r="C109" t="s">
        <v>127</v>
      </c>
      <c r="D109" t="s">
        <v>131</v>
      </c>
      <c r="E109">
        <v>30</v>
      </c>
      <c r="G109">
        <v>87.5</v>
      </c>
      <c r="H109">
        <v>140</v>
      </c>
      <c r="I109">
        <v>1.0853626999999999E-2</v>
      </c>
    </row>
    <row r="110" spans="1:9">
      <c r="A110">
        <v>2</v>
      </c>
      <c r="B110" t="s">
        <v>106</v>
      </c>
      <c r="C110" t="s">
        <v>127</v>
      </c>
      <c r="D110" t="s">
        <v>131</v>
      </c>
      <c r="E110">
        <v>30</v>
      </c>
      <c r="G110">
        <v>175</v>
      </c>
      <c r="H110">
        <v>280</v>
      </c>
      <c r="I110">
        <v>1.0298867999999999E-2</v>
      </c>
    </row>
    <row r="111" spans="1:9">
      <c r="A111">
        <v>3</v>
      </c>
      <c r="B111" t="s">
        <v>107</v>
      </c>
      <c r="C111" t="s">
        <v>127</v>
      </c>
      <c r="D111" t="s">
        <v>131</v>
      </c>
      <c r="E111">
        <v>30</v>
      </c>
      <c r="G111">
        <v>262.5</v>
      </c>
      <c r="H111">
        <v>420</v>
      </c>
      <c r="I111">
        <v>1.0049985000000001E-2</v>
      </c>
    </row>
    <row r="112" spans="1:9">
      <c r="A112">
        <v>4</v>
      </c>
      <c r="B112" t="s">
        <v>108</v>
      </c>
      <c r="C112" t="s">
        <v>127</v>
      </c>
      <c r="D112" t="s">
        <v>131</v>
      </c>
      <c r="E112">
        <v>30</v>
      </c>
      <c r="G112">
        <v>350</v>
      </c>
      <c r="H112">
        <v>560</v>
      </c>
      <c r="I112">
        <v>9.2617010000000007E-3</v>
      </c>
    </row>
    <row r="113" spans="1:9">
      <c r="A113">
        <v>5</v>
      </c>
      <c r="B113" t="s">
        <v>109</v>
      </c>
      <c r="C113" t="s">
        <v>127</v>
      </c>
      <c r="D113" t="s">
        <v>131</v>
      </c>
      <c r="E113">
        <v>30</v>
      </c>
      <c r="G113">
        <v>437.5</v>
      </c>
      <c r="H113">
        <v>700</v>
      </c>
      <c r="I113">
        <v>9.2231789999999998E-3</v>
      </c>
    </row>
    <row r="114" spans="1:9">
      <c r="A114">
        <v>1</v>
      </c>
      <c r="B114" t="s">
        <v>110</v>
      </c>
      <c r="C114" t="s">
        <v>127</v>
      </c>
      <c r="D114" t="s">
        <v>132</v>
      </c>
      <c r="E114">
        <v>20</v>
      </c>
      <c r="G114">
        <v>52.5</v>
      </c>
      <c r="H114">
        <v>70</v>
      </c>
      <c r="I114">
        <v>9.8398280000000001E-3</v>
      </c>
    </row>
    <row r="115" spans="1:9">
      <c r="A115">
        <v>2</v>
      </c>
      <c r="B115" t="s">
        <v>111</v>
      </c>
      <c r="C115" t="s">
        <v>127</v>
      </c>
      <c r="D115" t="s">
        <v>132</v>
      </c>
      <c r="E115">
        <v>20</v>
      </c>
      <c r="G115">
        <v>105</v>
      </c>
      <c r="H115">
        <v>140</v>
      </c>
      <c r="I115">
        <v>1.0382466999999999E-2</v>
      </c>
    </row>
    <row r="116" spans="1:9">
      <c r="A116">
        <v>3</v>
      </c>
      <c r="B116" t="s">
        <v>112</v>
      </c>
      <c r="C116" t="s">
        <v>127</v>
      </c>
      <c r="D116" t="s">
        <v>132</v>
      </c>
      <c r="E116">
        <v>20</v>
      </c>
      <c r="G116">
        <v>157.5</v>
      </c>
      <c r="H116">
        <v>210</v>
      </c>
      <c r="I116">
        <v>1.0284201999999999E-2</v>
      </c>
    </row>
    <row r="117" spans="1:9">
      <c r="A117">
        <v>4</v>
      </c>
      <c r="B117" t="s">
        <v>113</v>
      </c>
      <c r="C117" t="s">
        <v>127</v>
      </c>
      <c r="D117" t="s">
        <v>132</v>
      </c>
      <c r="E117">
        <v>20</v>
      </c>
      <c r="G117">
        <v>210</v>
      </c>
      <c r="H117">
        <v>280</v>
      </c>
      <c r="I117">
        <v>9.9395060000000007E-3</v>
      </c>
    </row>
    <row r="118" spans="1:9">
      <c r="A118">
        <v>5</v>
      </c>
      <c r="B118" t="s">
        <v>114</v>
      </c>
      <c r="C118" t="s">
        <v>127</v>
      </c>
      <c r="D118" t="s">
        <v>132</v>
      </c>
      <c r="E118">
        <v>20</v>
      </c>
      <c r="G118">
        <v>262.5</v>
      </c>
      <c r="H118">
        <v>350</v>
      </c>
      <c r="I118">
        <v>1.0047228E-2</v>
      </c>
    </row>
    <row r="119" spans="1:9">
      <c r="A119">
        <v>1</v>
      </c>
      <c r="B119" t="s">
        <v>115</v>
      </c>
      <c r="C119" t="s">
        <v>127</v>
      </c>
      <c r="D119" t="s">
        <v>132</v>
      </c>
      <c r="E119">
        <v>30</v>
      </c>
      <c r="G119">
        <v>87.5</v>
      </c>
      <c r="H119">
        <v>140</v>
      </c>
      <c r="I119">
        <v>1.1581272E-2</v>
      </c>
    </row>
    <row r="120" spans="1:9">
      <c r="A120">
        <v>2</v>
      </c>
      <c r="B120" t="s">
        <v>116</v>
      </c>
      <c r="C120" t="s">
        <v>127</v>
      </c>
      <c r="D120" t="s">
        <v>132</v>
      </c>
      <c r="E120">
        <v>30</v>
      </c>
      <c r="G120">
        <v>175</v>
      </c>
      <c r="H120">
        <v>280</v>
      </c>
      <c r="I120">
        <v>1.0918573000000001E-2</v>
      </c>
    </row>
    <row r="121" spans="1:9">
      <c r="A121">
        <v>3</v>
      </c>
      <c r="B121" t="s">
        <v>117</v>
      </c>
      <c r="C121" t="s">
        <v>127</v>
      </c>
      <c r="D121" t="s">
        <v>132</v>
      </c>
      <c r="E121">
        <v>30</v>
      </c>
      <c r="G121">
        <v>262.5</v>
      </c>
      <c r="H121">
        <v>420</v>
      </c>
      <c r="I121">
        <v>1.1104812E-2</v>
      </c>
    </row>
    <row r="122" spans="1:9">
      <c r="A122">
        <v>4</v>
      </c>
      <c r="B122" t="s">
        <v>118</v>
      </c>
      <c r="C122" t="s">
        <v>127</v>
      </c>
      <c r="D122" t="s">
        <v>132</v>
      </c>
      <c r="E122">
        <v>30</v>
      </c>
      <c r="G122">
        <v>350</v>
      </c>
      <c r="H122">
        <v>560</v>
      </c>
      <c r="I122">
        <v>9.8919620000000007E-3</v>
      </c>
    </row>
    <row r="123" spans="1:9">
      <c r="A123">
        <v>5</v>
      </c>
      <c r="B123" t="s">
        <v>119</v>
      </c>
      <c r="C123" t="s">
        <v>127</v>
      </c>
      <c r="D123" t="s">
        <v>132</v>
      </c>
      <c r="E123">
        <v>30</v>
      </c>
      <c r="G123">
        <v>437.5</v>
      </c>
      <c r="H123">
        <v>700</v>
      </c>
      <c r="I123">
        <v>1.0124608E-2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topLeftCell="B1" workbookViewId="0">
      <selection activeCell="M16" sqref="M16"/>
    </sheetView>
  </sheetViews>
  <sheetFormatPr baseColWidth="10" defaultColWidth="8.85546875" defaultRowHeight="15"/>
  <cols>
    <col min="2" max="2" width="23.42578125" customWidth="1"/>
    <col min="13" max="13" width="9.28515625" bestFit="1" customWidth="1"/>
  </cols>
  <sheetData>
    <row r="1" spans="1:14">
      <c r="A1" t="s">
        <v>128</v>
      </c>
      <c r="K1" t="s">
        <v>221</v>
      </c>
    </row>
    <row r="2" spans="1:14">
      <c r="A2" t="s">
        <v>138</v>
      </c>
      <c r="K2" t="s">
        <v>220</v>
      </c>
      <c r="M2" t="s">
        <v>223</v>
      </c>
    </row>
    <row r="3" spans="1:14">
      <c r="A3" t="s">
        <v>129</v>
      </c>
      <c r="B3" t="s">
        <v>120</v>
      </c>
      <c r="C3" t="s">
        <v>121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K3" t="s">
        <v>219</v>
      </c>
      <c r="M3" t="s">
        <v>222</v>
      </c>
      <c r="N3" t="s">
        <v>224</v>
      </c>
    </row>
    <row r="4" spans="1:14">
      <c r="A4">
        <v>1</v>
      </c>
      <c r="B4">
        <v>3.1431524547803602</v>
      </c>
      <c r="C4" t="s">
        <v>122</v>
      </c>
      <c r="D4" t="s">
        <v>131</v>
      </c>
      <c r="E4">
        <v>20</v>
      </c>
      <c r="F4">
        <v>52.5</v>
      </c>
      <c r="G4">
        <v>70</v>
      </c>
      <c r="H4">
        <v>3.1431524547803602</v>
      </c>
      <c r="M4">
        <v>0</v>
      </c>
      <c r="N4" t="s">
        <v>225</v>
      </c>
    </row>
    <row r="5" spans="1:14">
      <c r="A5">
        <v>2</v>
      </c>
      <c r="B5">
        <v>3.3767441860465102</v>
      </c>
      <c r="C5" t="s">
        <v>122</v>
      </c>
      <c r="D5" t="s">
        <v>131</v>
      </c>
      <c r="E5">
        <v>20</v>
      </c>
      <c r="F5">
        <v>105</v>
      </c>
      <c r="G5">
        <v>140</v>
      </c>
      <c r="H5">
        <v>3.3767441860465102</v>
      </c>
      <c r="K5">
        <v>89.531568228105897</v>
      </c>
      <c r="M5">
        <f>K5/100*20/7.86</f>
        <v>2.2781569523691068</v>
      </c>
      <c r="N5" t="s">
        <v>227</v>
      </c>
    </row>
    <row r="6" spans="1:14">
      <c r="A6">
        <v>3</v>
      </c>
      <c r="B6">
        <v>4.0091546696197797</v>
      </c>
      <c r="C6" t="s">
        <v>122</v>
      </c>
      <c r="D6" t="s">
        <v>131</v>
      </c>
      <c r="E6">
        <v>20</v>
      </c>
      <c r="F6">
        <v>157.5</v>
      </c>
      <c r="G6">
        <v>210</v>
      </c>
      <c r="H6">
        <v>4.0091546696197797</v>
      </c>
      <c r="K6">
        <v>94.341218862603696</v>
      </c>
      <c r="M6">
        <f t="shared" ref="M6:M7" si="0">K6/100*20/7.86</f>
        <v>2.4005399201680326</v>
      </c>
      <c r="N6" t="s">
        <v>226</v>
      </c>
    </row>
    <row r="7" spans="1:14">
      <c r="A7">
        <v>4</v>
      </c>
      <c r="B7">
        <v>4.0896271686969303</v>
      </c>
      <c r="C7" t="s">
        <v>122</v>
      </c>
      <c r="D7" t="s">
        <v>131</v>
      </c>
      <c r="E7">
        <v>20</v>
      </c>
      <c r="F7">
        <v>210</v>
      </c>
      <c r="G7">
        <v>280</v>
      </c>
      <c r="H7">
        <v>4.0896271686969303</v>
      </c>
      <c r="K7">
        <v>103.963653454488</v>
      </c>
      <c r="M7">
        <f t="shared" si="0"/>
        <v>2.6453855840836638</v>
      </c>
    </row>
    <row r="8" spans="1:14">
      <c r="A8">
        <v>5</v>
      </c>
      <c r="B8">
        <v>4.5495754891103699</v>
      </c>
      <c r="C8" t="s">
        <v>122</v>
      </c>
      <c r="D8" t="s">
        <v>131</v>
      </c>
      <c r="E8">
        <v>20</v>
      </c>
      <c r="F8">
        <v>262.5</v>
      </c>
      <c r="G8">
        <v>350</v>
      </c>
      <c r="H8">
        <v>4.5495754891103699</v>
      </c>
      <c r="M8">
        <v>0</v>
      </c>
    </row>
    <row r="9" spans="1:14">
      <c r="A9">
        <v>1</v>
      </c>
      <c r="B9">
        <v>2.9167958656330701</v>
      </c>
      <c r="C9" t="s">
        <v>122</v>
      </c>
      <c r="D9" t="s">
        <v>131</v>
      </c>
      <c r="E9">
        <v>30</v>
      </c>
      <c r="F9">
        <v>87.5</v>
      </c>
      <c r="G9">
        <v>140</v>
      </c>
      <c r="H9">
        <v>2.9167958656330701</v>
      </c>
      <c r="K9">
        <v>8.49171120046881</v>
      </c>
      <c r="M9">
        <f>K9/100*20/7.86</f>
        <v>0.21607407634780687</v>
      </c>
    </row>
    <row r="10" spans="1:14">
      <c r="A10">
        <v>2</v>
      </c>
      <c r="B10">
        <v>3.0411221853082302</v>
      </c>
      <c r="C10" t="s">
        <v>122</v>
      </c>
      <c r="D10" t="s">
        <v>131</v>
      </c>
      <c r="E10">
        <v>30</v>
      </c>
      <c r="F10">
        <v>175</v>
      </c>
      <c r="G10">
        <v>280</v>
      </c>
      <c r="H10">
        <v>3.0411221853082302</v>
      </c>
      <c r="K10">
        <v>14.9306172065845</v>
      </c>
      <c r="M10">
        <f t="shared" ref="M10:M11" si="1">K10/100*20/7.86</f>
        <v>0.37991392383166672</v>
      </c>
    </row>
    <row r="11" spans="1:14">
      <c r="A11">
        <v>3</v>
      </c>
      <c r="B11">
        <v>3.6504983388704302</v>
      </c>
      <c r="C11" t="s">
        <v>122</v>
      </c>
      <c r="D11" t="s">
        <v>131</v>
      </c>
      <c r="E11">
        <v>30</v>
      </c>
      <c r="F11">
        <v>262.5</v>
      </c>
      <c r="G11">
        <v>420</v>
      </c>
      <c r="H11">
        <v>3.6504983388704302</v>
      </c>
      <c r="K11">
        <v>19.275201490069001</v>
      </c>
      <c r="M11">
        <f t="shared" si="1"/>
        <v>0.49046314224094151</v>
      </c>
    </row>
    <row r="12" spans="1:14">
      <c r="A12">
        <v>4</v>
      </c>
      <c r="B12">
        <v>3.7863418235511199</v>
      </c>
      <c r="C12" t="s">
        <v>122</v>
      </c>
      <c r="D12" t="s">
        <v>131</v>
      </c>
      <c r="E12">
        <v>30</v>
      </c>
      <c r="F12">
        <v>350</v>
      </c>
      <c r="G12">
        <v>560</v>
      </c>
      <c r="H12">
        <v>3.7863418235511199</v>
      </c>
      <c r="M12">
        <v>0</v>
      </c>
    </row>
    <row r="13" spans="1:14">
      <c r="A13">
        <v>5</v>
      </c>
      <c r="B13">
        <v>4.1392395717977104</v>
      </c>
      <c r="C13" t="s">
        <v>122</v>
      </c>
      <c r="D13" t="s">
        <v>131</v>
      </c>
      <c r="E13">
        <v>30</v>
      </c>
      <c r="F13">
        <v>437.5</v>
      </c>
      <c r="G13">
        <v>700</v>
      </c>
      <c r="H13">
        <v>4.1392395717977104</v>
      </c>
      <c r="K13">
        <v>96.944618517938196</v>
      </c>
      <c r="M13">
        <f>K13/100*20/7.86</f>
        <v>2.4667841862070787</v>
      </c>
    </row>
    <row r="14" spans="1:14">
      <c r="A14">
        <v>1</v>
      </c>
      <c r="B14">
        <v>3.53266888150609</v>
      </c>
      <c r="C14" t="s">
        <v>122</v>
      </c>
      <c r="D14" t="s">
        <v>132</v>
      </c>
      <c r="E14">
        <v>20</v>
      </c>
      <c r="F14">
        <v>52.5</v>
      </c>
      <c r="G14">
        <v>70</v>
      </c>
      <c r="H14">
        <v>3.53266888150609</v>
      </c>
      <c r="K14">
        <v>105.927536105743</v>
      </c>
      <c r="M14">
        <f t="shared" ref="M14:M15" si="2">K14/100*20/7.86</f>
        <v>2.6953571528178877</v>
      </c>
    </row>
    <row r="15" spans="1:14">
      <c r="A15">
        <v>2</v>
      </c>
      <c r="B15">
        <v>3.7971207087486101</v>
      </c>
      <c r="C15" t="s">
        <v>122</v>
      </c>
      <c r="D15" t="s">
        <v>132</v>
      </c>
      <c r="E15">
        <v>20</v>
      </c>
      <c r="F15">
        <v>105</v>
      </c>
      <c r="G15">
        <v>140</v>
      </c>
      <c r="H15">
        <v>3.7971207087486101</v>
      </c>
      <c r="K15">
        <v>134.869067720391</v>
      </c>
      <c r="M15">
        <f t="shared" si="2"/>
        <v>3.4317828936486259</v>
      </c>
    </row>
    <row r="16" spans="1:14">
      <c r="A16">
        <v>3</v>
      </c>
      <c r="B16">
        <v>4.4748615725359899</v>
      </c>
      <c r="C16" t="s">
        <v>122</v>
      </c>
      <c r="D16" t="s">
        <v>132</v>
      </c>
      <c r="E16">
        <v>20</v>
      </c>
      <c r="F16">
        <v>157.5</v>
      </c>
      <c r="G16">
        <v>210</v>
      </c>
      <c r="H16">
        <v>4.4748615725359899</v>
      </c>
      <c r="M16">
        <v>0</v>
      </c>
    </row>
    <row r="17" spans="1:13">
      <c r="A17">
        <v>4</v>
      </c>
      <c r="B17">
        <v>4.7370985603543696</v>
      </c>
      <c r="C17" t="s">
        <v>122</v>
      </c>
      <c r="D17" t="s">
        <v>132</v>
      </c>
      <c r="E17">
        <v>20</v>
      </c>
      <c r="F17">
        <v>210</v>
      </c>
      <c r="G17">
        <v>280</v>
      </c>
      <c r="H17">
        <v>4.7370985603543696</v>
      </c>
      <c r="K17">
        <v>10.8108778526293</v>
      </c>
      <c r="M17">
        <f>K17/100*20/7.86</f>
        <v>0.27508595044858264</v>
      </c>
    </row>
    <row r="18" spans="1:13">
      <c r="A18">
        <v>5</v>
      </c>
      <c r="B18">
        <v>4.9929863418235501</v>
      </c>
      <c r="C18" t="s">
        <v>122</v>
      </c>
      <c r="D18" t="s">
        <v>132</v>
      </c>
      <c r="E18">
        <v>20</v>
      </c>
      <c r="F18">
        <v>262.5</v>
      </c>
      <c r="G18">
        <v>350</v>
      </c>
      <c r="H18">
        <v>4.9929863418235501</v>
      </c>
      <c r="K18">
        <v>12.370286234848299</v>
      </c>
      <c r="M18">
        <f t="shared" ref="M18:M19" si="3">K18/100*20/7.86</f>
        <v>0.31476555304957504</v>
      </c>
    </row>
    <row r="19" spans="1:13">
      <c r="A19">
        <v>1</v>
      </c>
      <c r="B19">
        <v>2.7982281284606798</v>
      </c>
      <c r="C19" t="s">
        <v>122</v>
      </c>
      <c r="D19" t="s">
        <v>132</v>
      </c>
      <c r="E19">
        <v>30</v>
      </c>
      <c r="F19">
        <v>87.5</v>
      </c>
      <c r="G19">
        <v>140</v>
      </c>
      <c r="H19">
        <v>2.7982281284606798</v>
      </c>
      <c r="K19">
        <v>16.7239368461364</v>
      </c>
      <c r="M19">
        <f t="shared" si="3"/>
        <v>0.42554546682280914</v>
      </c>
    </row>
    <row r="20" spans="1:13">
      <c r="A20">
        <v>2</v>
      </c>
      <c r="B20">
        <v>2.8010335917312599</v>
      </c>
      <c r="C20" t="s">
        <v>122</v>
      </c>
      <c r="D20" t="s">
        <v>132</v>
      </c>
      <c r="E20">
        <v>30</v>
      </c>
      <c r="F20">
        <v>175</v>
      </c>
      <c r="G20">
        <v>280</v>
      </c>
      <c r="H20">
        <v>2.8010335917312599</v>
      </c>
    </row>
    <row r="21" spans="1:13">
      <c r="A21">
        <v>3</v>
      </c>
      <c r="B21">
        <v>3.1870062753783599</v>
      </c>
      <c r="C21" t="s">
        <v>122</v>
      </c>
      <c r="D21" t="s">
        <v>132</v>
      </c>
      <c r="E21">
        <v>30</v>
      </c>
      <c r="F21">
        <v>262.5</v>
      </c>
      <c r="G21">
        <v>420</v>
      </c>
      <c r="H21">
        <v>3.1870062753783599</v>
      </c>
    </row>
    <row r="22" spans="1:13">
      <c r="A22">
        <v>4</v>
      </c>
      <c r="B22">
        <v>3.3005537098560298</v>
      </c>
      <c r="C22" t="s">
        <v>122</v>
      </c>
      <c r="D22" t="s">
        <v>132</v>
      </c>
      <c r="E22">
        <v>30</v>
      </c>
      <c r="F22">
        <v>350</v>
      </c>
      <c r="G22">
        <v>560</v>
      </c>
      <c r="H22">
        <v>3.3005537098560298</v>
      </c>
    </row>
    <row r="23" spans="1:13">
      <c r="A23">
        <v>5</v>
      </c>
      <c r="B23">
        <v>3.6843115540789899</v>
      </c>
      <c r="C23" t="s">
        <v>122</v>
      </c>
      <c r="D23" t="s">
        <v>132</v>
      </c>
      <c r="E23">
        <v>30</v>
      </c>
      <c r="F23">
        <v>437.5</v>
      </c>
      <c r="G23">
        <v>700</v>
      </c>
      <c r="H23">
        <v>3.6843115540789899</v>
      </c>
    </row>
    <row r="24" spans="1:13">
      <c r="A24">
        <v>1</v>
      </c>
      <c r="B24">
        <v>9.3524519644393393</v>
      </c>
      <c r="C24" t="s">
        <v>123</v>
      </c>
      <c r="D24" t="s">
        <v>131</v>
      </c>
      <c r="E24">
        <v>20</v>
      </c>
      <c r="F24">
        <v>52.5</v>
      </c>
      <c r="G24">
        <v>70</v>
      </c>
      <c r="H24">
        <f>B24*B4</f>
        <v>29.39618235024291</v>
      </c>
    </row>
    <row r="25" spans="1:13">
      <c r="A25">
        <v>2</v>
      </c>
      <c r="B25">
        <v>9.8915973616289001</v>
      </c>
      <c r="C25" t="s">
        <v>123</v>
      </c>
      <c r="D25" t="s">
        <v>131</v>
      </c>
      <c r="E25">
        <v>20</v>
      </c>
      <c r="F25">
        <v>105</v>
      </c>
      <c r="G25">
        <v>140</v>
      </c>
      <c r="H25">
        <f t="shared" ref="H25:H43" si="4">B25*B5</f>
        <v>33.401393881593386</v>
      </c>
    </row>
    <row r="26" spans="1:13">
      <c r="A26">
        <v>3</v>
      </c>
      <c r="B26">
        <v>11.3771149985661</v>
      </c>
      <c r="C26" t="s">
        <v>123</v>
      </c>
      <c r="D26" t="s">
        <v>131</v>
      </c>
      <c r="E26">
        <v>20</v>
      </c>
      <c r="F26">
        <v>157.5</v>
      </c>
      <c r="G26">
        <v>210</v>
      </c>
      <c r="H26">
        <f t="shared" si="4"/>
        <v>45.612613723302509</v>
      </c>
    </row>
    <row r="27" spans="1:13">
      <c r="A27">
        <v>4</v>
      </c>
      <c r="B27">
        <v>12.9744766274734</v>
      </c>
      <c r="C27" t="s">
        <v>123</v>
      </c>
      <c r="D27" t="s">
        <v>131</v>
      </c>
      <c r="E27">
        <v>20</v>
      </c>
      <c r="F27">
        <v>210</v>
      </c>
      <c r="G27">
        <v>280</v>
      </c>
      <c r="H27">
        <f t="shared" si="4"/>
        <v>53.060772115338537</v>
      </c>
    </row>
    <row r="28" spans="1:13">
      <c r="A28">
        <v>5</v>
      </c>
      <c r="B28">
        <v>14.6248924577</v>
      </c>
      <c r="C28" t="s">
        <v>123</v>
      </c>
      <c r="D28" t="s">
        <v>131</v>
      </c>
      <c r="E28">
        <v>20</v>
      </c>
      <c r="F28">
        <v>262.5</v>
      </c>
      <c r="G28">
        <v>350</v>
      </c>
      <c r="H28">
        <f t="shared" si="4"/>
        <v>66.537052256427032</v>
      </c>
    </row>
    <row r="29" spans="1:13">
      <c r="A29">
        <v>1</v>
      </c>
      <c r="B29">
        <v>9.1431029538284996</v>
      </c>
      <c r="C29" t="s">
        <v>123</v>
      </c>
      <c r="D29" t="s">
        <v>131</v>
      </c>
      <c r="E29">
        <v>30</v>
      </c>
      <c r="F29">
        <v>87.5</v>
      </c>
      <c r="G29">
        <v>140</v>
      </c>
      <c r="H29">
        <f t="shared" si="4"/>
        <v>26.668564894784478</v>
      </c>
    </row>
    <row r="30" spans="1:13">
      <c r="A30">
        <v>2</v>
      </c>
      <c r="B30">
        <v>10.3662173788356</v>
      </c>
      <c r="C30" t="s">
        <v>123</v>
      </c>
      <c r="D30" t="s">
        <v>131</v>
      </c>
      <c r="E30">
        <v>30</v>
      </c>
      <c r="F30">
        <v>175</v>
      </c>
      <c r="G30">
        <v>280</v>
      </c>
      <c r="H30">
        <f t="shared" si="4"/>
        <v>31.524933648504675</v>
      </c>
    </row>
    <row r="31" spans="1:13">
      <c r="A31">
        <v>3</v>
      </c>
      <c r="B31">
        <v>11.6954402064812</v>
      </c>
      <c r="C31" t="s">
        <v>123</v>
      </c>
      <c r="D31" t="s">
        <v>131</v>
      </c>
      <c r="E31">
        <v>30</v>
      </c>
      <c r="F31">
        <v>262.5</v>
      </c>
      <c r="G31">
        <v>420</v>
      </c>
      <c r="H31">
        <f t="shared" si="4"/>
        <v>42.694185046118058</v>
      </c>
    </row>
    <row r="32" spans="1:13">
      <c r="A32">
        <v>4</v>
      </c>
      <c r="B32">
        <v>13.5050186406653</v>
      </c>
      <c r="C32" t="s">
        <v>123</v>
      </c>
      <c r="D32" t="s">
        <v>131</v>
      </c>
      <c r="E32">
        <v>30</v>
      </c>
      <c r="F32">
        <v>350</v>
      </c>
      <c r="G32">
        <v>560</v>
      </c>
      <c r="H32">
        <f t="shared" si="4"/>
        <v>51.134616906988519</v>
      </c>
    </row>
    <row r="33" spans="1:8">
      <c r="A33">
        <v>5</v>
      </c>
      <c r="B33">
        <v>15.956983080011399</v>
      </c>
      <c r="C33" t="s">
        <v>123</v>
      </c>
      <c r="D33" t="s">
        <v>131</v>
      </c>
      <c r="E33">
        <v>30</v>
      </c>
      <c r="F33">
        <v>437.5</v>
      </c>
      <c r="G33">
        <v>700</v>
      </c>
      <c r="H33">
        <f t="shared" si="4"/>
        <v>66.049775811289692</v>
      </c>
    </row>
    <row r="34" spans="1:8">
      <c r="A34">
        <v>1</v>
      </c>
      <c r="B34">
        <v>8.9280183538858608</v>
      </c>
      <c r="C34" t="s">
        <v>123</v>
      </c>
      <c r="D34" t="s">
        <v>132</v>
      </c>
      <c r="E34">
        <v>20</v>
      </c>
      <c r="F34">
        <v>52.5</v>
      </c>
      <c r="G34">
        <v>70</v>
      </c>
      <c r="H34">
        <f t="shared" si="4"/>
        <v>31.539732612287807</v>
      </c>
    </row>
    <row r="35" spans="1:8">
      <c r="A35">
        <v>2</v>
      </c>
      <c r="B35">
        <v>9.2492113564668692</v>
      </c>
      <c r="C35" t="s">
        <v>123</v>
      </c>
      <c r="D35" t="s">
        <v>132</v>
      </c>
      <c r="E35">
        <v>20</v>
      </c>
      <c r="F35">
        <v>105</v>
      </c>
      <c r="G35">
        <v>140</v>
      </c>
      <c r="H35">
        <f t="shared" si="4"/>
        <v>35.12037198123317</v>
      </c>
    </row>
    <row r="36" spans="1:8">
      <c r="A36">
        <v>3</v>
      </c>
      <c r="B36">
        <v>10.419271580154801</v>
      </c>
      <c r="C36" t="s">
        <v>123</v>
      </c>
      <c r="D36" t="s">
        <v>132</v>
      </c>
      <c r="E36">
        <v>20</v>
      </c>
      <c r="F36">
        <v>157.5</v>
      </c>
      <c r="G36">
        <v>210</v>
      </c>
      <c r="H36">
        <f t="shared" si="4"/>
        <v>46.624798007851062</v>
      </c>
    </row>
    <row r="37" spans="1:8">
      <c r="A37">
        <v>4</v>
      </c>
      <c r="B37">
        <v>11.9076570117579</v>
      </c>
      <c r="C37" t="s">
        <v>123</v>
      </c>
      <c r="D37" t="s">
        <v>132</v>
      </c>
      <c r="E37">
        <v>20</v>
      </c>
      <c r="F37">
        <v>210</v>
      </c>
      <c r="G37">
        <v>280</v>
      </c>
      <c r="H37">
        <f t="shared" si="4"/>
        <v>56.40774488759196</v>
      </c>
    </row>
    <row r="38" spans="1:8">
      <c r="A38">
        <v>5</v>
      </c>
      <c r="B38">
        <v>13.2956696300544</v>
      </c>
      <c r="C38" t="s">
        <v>123</v>
      </c>
      <c r="D38" t="s">
        <v>132</v>
      </c>
      <c r="E38">
        <v>20</v>
      </c>
      <c r="F38">
        <v>262.5</v>
      </c>
      <c r="G38">
        <v>350</v>
      </c>
      <c r="H38">
        <f t="shared" si="4"/>
        <v>66.385096868259794</v>
      </c>
    </row>
    <row r="39" spans="1:8">
      <c r="A39">
        <v>1</v>
      </c>
      <c r="B39">
        <v>6.8058503011184399</v>
      </c>
      <c r="C39" t="s">
        <v>123</v>
      </c>
      <c r="D39" t="s">
        <v>132</v>
      </c>
      <c r="E39">
        <v>30</v>
      </c>
      <c r="F39">
        <v>87.5</v>
      </c>
      <c r="G39">
        <v>140</v>
      </c>
      <c r="H39">
        <f t="shared" si="4"/>
        <v>19.044321750682208</v>
      </c>
    </row>
    <row r="40" spans="1:8">
      <c r="A40">
        <v>2</v>
      </c>
      <c r="B40">
        <v>7.3865787209635698</v>
      </c>
      <c r="C40" t="s">
        <v>123</v>
      </c>
      <c r="D40" t="s">
        <v>132</v>
      </c>
      <c r="E40">
        <v>30</v>
      </c>
      <c r="F40">
        <v>175</v>
      </c>
      <c r="G40">
        <v>280</v>
      </c>
      <c r="H40">
        <f t="shared" si="4"/>
        <v>20.690055125386284</v>
      </c>
    </row>
    <row r="41" spans="1:8">
      <c r="A41">
        <v>3</v>
      </c>
      <c r="B41">
        <v>8.1293375394321696</v>
      </c>
      <c r="C41" t="s">
        <v>123</v>
      </c>
      <c r="D41" t="s">
        <v>132</v>
      </c>
      <c r="E41">
        <v>30</v>
      </c>
      <c r="F41">
        <v>262.5</v>
      </c>
      <c r="G41">
        <v>420</v>
      </c>
      <c r="H41">
        <f t="shared" si="4"/>
        <v>25.9082497528392</v>
      </c>
    </row>
    <row r="42" spans="1:8">
      <c r="A42">
        <v>4</v>
      </c>
      <c r="B42">
        <v>9.03699455119013</v>
      </c>
      <c r="C42" t="s">
        <v>123</v>
      </c>
      <c r="D42" t="s">
        <v>132</v>
      </c>
      <c r="E42">
        <v>30</v>
      </c>
      <c r="F42">
        <v>350</v>
      </c>
      <c r="G42">
        <v>560</v>
      </c>
      <c r="H42">
        <f t="shared" si="4"/>
        <v>29.82708589187931</v>
      </c>
    </row>
    <row r="43" spans="1:8">
      <c r="A43">
        <v>5</v>
      </c>
      <c r="B43">
        <v>10.8967593920275</v>
      </c>
      <c r="C43" t="s">
        <v>123</v>
      </c>
      <c r="D43" t="s">
        <v>132</v>
      </c>
      <c r="E43">
        <v>30</v>
      </c>
      <c r="F43">
        <v>437.5</v>
      </c>
      <c r="G43">
        <v>700</v>
      </c>
      <c r="H43">
        <f t="shared" si="4"/>
        <v>40.147056530065669</v>
      </c>
    </row>
    <row r="44" spans="1:8">
      <c r="A44">
        <v>1</v>
      </c>
      <c r="B44">
        <v>2.8736043095004802</v>
      </c>
      <c r="C44" t="s">
        <v>124</v>
      </c>
      <c r="D44" t="s">
        <v>131</v>
      </c>
      <c r="E44">
        <v>20</v>
      </c>
      <c r="F44">
        <v>52.5</v>
      </c>
      <c r="G44">
        <v>70</v>
      </c>
      <c r="H44">
        <v>2.8736043095004802</v>
      </c>
    </row>
    <row r="45" spans="1:8">
      <c r="A45">
        <v>2</v>
      </c>
      <c r="B45">
        <v>2.8918707149852998</v>
      </c>
      <c r="C45" t="s">
        <v>124</v>
      </c>
      <c r="D45" t="s">
        <v>131</v>
      </c>
      <c r="E45">
        <v>20</v>
      </c>
      <c r="F45">
        <v>105</v>
      </c>
      <c r="G45">
        <v>140</v>
      </c>
      <c r="H45">
        <v>2.8918707149852998</v>
      </c>
    </row>
    <row r="46" spans="1:8">
      <c r="A46">
        <v>3</v>
      </c>
      <c r="B46">
        <v>2.9586679725759</v>
      </c>
      <c r="C46" t="s">
        <v>124</v>
      </c>
      <c r="D46" t="s">
        <v>131</v>
      </c>
      <c r="E46">
        <v>20</v>
      </c>
      <c r="F46">
        <v>157.5</v>
      </c>
      <c r="G46">
        <v>210</v>
      </c>
      <c r="H46">
        <v>2.9586679725759</v>
      </c>
    </row>
    <row r="47" spans="1:8">
      <c r="A47">
        <v>4</v>
      </c>
      <c r="B47">
        <v>3.0175318315377</v>
      </c>
      <c r="C47" t="s">
        <v>124</v>
      </c>
      <c r="D47" t="s">
        <v>131</v>
      </c>
      <c r="E47">
        <v>20</v>
      </c>
      <c r="F47">
        <v>210</v>
      </c>
      <c r="G47">
        <v>280</v>
      </c>
      <c r="H47">
        <v>3.0175318315377</v>
      </c>
    </row>
    <row r="48" spans="1:8">
      <c r="A48">
        <v>5</v>
      </c>
      <c r="B48">
        <v>3.0613124387855</v>
      </c>
      <c r="C48" t="s">
        <v>124</v>
      </c>
      <c r="D48" t="s">
        <v>131</v>
      </c>
      <c r="E48">
        <v>20</v>
      </c>
      <c r="F48">
        <v>262.5</v>
      </c>
      <c r="G48">
        <v>350</v>
      </c>
      <c r="H48">
        <v>3.0613124387855</v>
      </c>
    </row>
    <row r="49" spans="1:8">
      <c r="A49">
        <v>1</v>
      </c>
      <c r="B49">
        <v>2.9621449559255599</v>
      </c>
      <c r="C49" t="s">
        <v>124</v>
      </c>
      <c r="D49" t="s">
        <v>131</v>
      </c>
      <c r="E49">
        <v>30</v>
      </c>
      <c r="F49">
        <v>87.5</v>
      </c>
      <c r="G49">
        <v>140</v>
      </c>
      <c r="H49">
        <v>2.9621449559255599</v>
      </c>
    </row>
    <row r="50" spans="1:8">
      <c r="A50">
        <v>2</v>
      </c>
      <c r="B50">
        <v>3.0726248775710001</v>
      </c>
      <c r="C50" t="s">
        <v>124</v>
      </c>
      <c r="D50" t="s">
        <v>131</v>
      </c>
      <c r="E50">
        <v>30</v>
      </c>
      <c r="F50">
        <v>175</v>
      </c>
      <c r="G50">
        <v>280</v>
      </c>
      <c r="H50">
        <v>3.0726248775710001</v>
      </c>
    </row>
    <row r="51" spans="1:8">
      <c r="A51">
        <v>3</v>
      </c>
      <c r="B51">
        <v>3.1575905974534701</v>
      </c>
      <c r="C51" t="s">
        <v>124</v>
      </c>
      <c r="D51" t="s">
        <v>131</v>
      </c>
      <c r="E51">
        <v>30</v>
      </c>
      <c r="F51">
        <v>262.5</v>
      </c>
      <c r="G51">
        <v>420</v>
      </c>
      <c r="H51">
        <v>3.1575905974534701</v>
      </c>
    </row>
    <row r="52" spans="1:8">
      <c r="A52">
        <v>4</v>
      </c>
      <c r="B52">
        <v>3.2864348677766801</v>
      </c>
      <c r="C52" t="s">
        <v>124</v>
      </c>
      <c r="D52" t="s">
        <v>131</v>
      </c>
      <c r="E52">
        <v>30</v>
      </c>
      <c r="F52">
        <v>350</v>
      </c>
      <c r="G52">
        <v>560</v>
      </c>
      <c r="H52">
        <v>3.2864348677766801</v>
      </c>
    </row>
    <row r="53" spans="1:8">
      <c r="A53">
        <v>5</v>
      </c>
      <c r="B53">
        <v>3.4007835455435802</v>
      </c>
      <c r="C53" t="s">
        <v>124</v>
      </c>
      <c r="D53" t="s">
        <v>131</v>
      </c>
      <c r="E53">
        <v>30</v>
      </c>
      <c r="F53">
        <v>437.5</v>
      </c>
      <c r="G53">
        <v>700</v>
      </c>
      <c r="H53">
        <v>3.4007835455435802</v>
      </c>
    </row>
    <row r="54" spans="1:8">
      <c r="A54">
        <v>1</v>
      </c>
      <c r="B54">
        <v>2.8556317335945098</v>
      </c>
      <c r="C54" t="s">
        <v>124</v>
      </c>
      <c r="D54" t="s">
        <v>132</v>
      </c>
      <c r="E54">
        <v>20</v>
      </c>
      <c r="F54">
        <v>52.5</v>
      </c>
      <c r="G54">
        <v>70</v>
      </c>
      <c r="H54">
        <v>2.8556317335945098</v>
      </c>
    </row>
    <row r="55" spans="1:8">
      <c r="A55">
        <v>2</v>
      </c>
      <c r="B55">
        <v>2.92164544564152</v>
      </c>
      <c r="C55" t="s">
        <v>124</v>
      </c>
      <c r="D55" t="s">
        <v>132</v>
      </c>
      <c r="E55">
        <v>20</v>
      </c>
      <c r="F55">
        <v>105</v>
      </c>
      <c r="G55">
        <v>140</v>
      </c>
      <c r="H55">
        <v>2.92164544564152</v>
      </c>
    </row>
    <row r="56" spans="1:8">
      <c r="A56">
        <v>3</v>
      </c>
      <c r="B56">
        <v>2.9358472086190002</v>
      </c>
      <c r="C56" t="s">
        <v>124</v>
      </c>
      <c r="D56" t="s">
        <v>132</v>
      </c>
      <c r="E56">
        <v>20</v>
      </c>
      <c r="F56">
        <v>157.5</v>
      </c>
      <c r="G56">
        <v>210</v>
      </c>
      <c r="H56">
        <v>2.9358472086190002</v>
      </c>
    </row>
    <row r="57" spans="1:8">
      <c r="A57">
        <v>4</v>
      </c>
      <c r="B57">
        <v>3.0397649363369199</v>
      </c>
      <c r="C57" t="s">
        <v>124</v>
      </c>
      <c r="D57" t="s">
        <v>132</v>
      </c>
      <c r="E57">
        <v>20</v>
      </c>
      <c r="F57">
        <v>210</v>
      </c>
      <c r="G57">
        <v>280</v>
      </c>
      <c r="H57">
        <v>3.0397649363369199</v>
      </c>
    </row>
    <row r="58" spans="1:8">
      <c r="A58">
        <v>5</v>
      </c>
      <c r="B58">
        <v>3.0841332027424002</v>
      </c>
      <c r="C58" t="s">
        <v>124</v>
      </c>
      <c r="D58" t="s">
        <v>132</v>
      </c>
      <c r="E58">
        <v>20</v>
      </c>
      <c r="F58">
        <v>262.5</v>
      </c>
      <c r="G58">
        <v>350</v>
      </c>
      <c r="H58">
        <v>3.0841332027424002</v>
      </c>
    </row>
    <row r="59" spans="1:8">
      <c r="A59">
        <v>1</v>
      </c>
      <c r="B59">
        <v>2.9327619980411299</v>
      </c>
      <c r="C59" t="s">
        <v>124</v>
      </c>
      <c r="D59" t="s">
        <v>132</v>
      </c>
      <c r="E59">
        <v>30</v>
      </c>
      <c r="F59">
        <v>87.5</v>
      </c>
      <c r="G59">
        <v>140</v>
      </c>
      <c r="H59">
        <v>2.9327619980411299</v>
      </c>
    </row>
    <row r="60" spans="1:8">
      <c r="A60">
        <v>2</v>
      </c>
      <c r="B60">
        <v>3.00631733594515</v>
      </c>
      <c r="C60" t="s">
        <v>124</v>
      </c>
      <c r="D60" t="s">
        <v>132</v>
      </c>
      <c r="E60">
        <v>30</v>
      </c>
      <c r="F60">
        <v>175</v>
      </c>
      <c r="G60">
        <v>280</v>
      </c>
      <c r="H60">
        <v>3.00631733594515</v>
      </c>
    </row>
    <row r="61" spans="1:8">
      <c r="A61">
        <v>3</v>
      </c>
      <c r="B61">
        <v>3.0945641527913801</v>
      </c>
      <c r="C61" t="s">
        <v>124</v>
      </c>
      <c r="D61" t="s">
        <v>132</v>
      </c>
      <c r="E61">
        <v>30</v>
      </c>
      <c r="F61">
        <v>262.5</v>
      </c>
      <c r="G61">
        <v>420</v>
      </c>
      <c r="H61">
        <v>3.0945641527913801</v>
      </c>
    </row>
    <row r="62" spans="1:8">
      <c r="A62">
        <v>4</v>
      </c>
      <c r="B62">
        <v>3.16464250734573</v>
      </c>
      <c r="C62" t="s">
        <v>124</v>
      </c>
      <c r="D62" t="s">
        <v>132</v>
      </c>
      <c r="E62">
        <v>30</v>
      </c>
      <c r="F62">
        <v>350</v>
      </c>
      <c r="G62">
        <v>560</v>
      </c>
      <c r="H62">
        <v>3.16464250734573</v>
      </c>
    </row>
    <row r="63" spans="1:8">
      <c r="A63">
        <v>5</v>
      </c>
      <c r="B63">
        <v>3.2940744368266399</v>
      </c>
      <c r="C63" t="s">
        <v>124</v>
      </c>
      <c r="D63" t="s">
        <v>132</v>
      </c>
      <c r="E63">
        <v>30</v>
      </c>
      <c r="F63">
        <v>437.5</v>
      </c>
      <c r="G63">
        <v>700</v>
      </c>
      <c r="H63">
        <v>3.2940744368266399</v>
      </c>
    </row>
    <row r="64" spans="1:8">
      <c r="A64">
        <v>1</v>
      </c>
      <c r="B64">
        <v>1.4940680940680899</v>
      </c>
      <c r="C64" t="s">
        <v>125</v>
      </c>
      <c r="D64" t="s">
        <v>131</v>
      </c>
      <c r="E64">
        <v>20</v>
      </c>
      <c r="F64">
        <v>52.5</v>
      </c>
      <c r="G64">
        <v>70</v>
      </c>
      <c r="H64">
        <f>B64*B4/100</f>
        <v>4.6960837974791315E-2</v>
      </c>
    </row>
    <row r="65" spans="1:8">
      <c r="A65">
        <v>2</v>
      </c>
      <c r="B65">
        <v>1.2487188487188401</v>
      </c>
      <c r="C65" t="s">
        <v>125</v>
      </c>
      <c r="D65" t="s">
        <v>131</v>
      </c>
      <c r="E65">
        <v>20</v>
      </c>
      <c r="F65">
        <v>105</v>
      </c>
      <c r="G65">
        <v>140</v>
      </c>
      <c r="H65">
        <f t="shared" ref="H65:H83" si="5">B65*B5/100</f>
        <v>4.2166041124180348E-2</v>
      </c>
    </row>
    <row r="66" spans="1:8">
      <c r="A66">
        <v>3</v>
      </c>
      <c r="B66">
        <v>0.95493155493155502</v>
      </c>
      <c r="C66" t="s">
        <v>125</v>
      </c>
      <c r="D66" t="s">
        <v>131</v>
      </c>
      <c r="E66">
        <v>20</v>
      </c>
      <c r="F66">
        <v>157.5</v>
      </c>
      <c r="G66">
        <v>210</v>
      </c>
      <c r="H66">
        <f t="shared" si="5"/>
        <v>3.8284683026211214E-2</v>
      </c>
    </row>
    <row r="67" spans="1:8">
      <c r="A67">
        <v>4</v>
      </c>
      <c r="B67">
        <v>0.84190944190944195</v>
      </c>
      <c r="C67" t="s">
        <v>125</v>
      </c>
      <c r="D67" t="s">
        <v>131</v>
      </c>
      <c r="E67">
        <v>20</v>
      </c>
      <c r="F67">
        <v>210</v>
      </c>
      <c r="G67">
        <v>280</v>
      </c>
      <c r="H67">
        <f t="shared" si="5"/>
        <v>3.4430957272153243E-2</v>
      </c>
    </row>
    <row r="68" spans="1:8">
      <c r="A68">
        <v>5</v>
      </c>
      <c r="B68">
        <v>0.73309933309933295</v>
      </c>
      <c r="C68" t="s">
        <v>125</v>
      </c>
      <c r="D68" t="s">
        <v>131</v>
      </c>
      <c r="E68">
        <v>20</v>
      </c>
      <c r="F68">
        <v>262.5</v>
      </c>
      <c r="G68">
        <v>350</v>
      </c>
      <c r="H68">
        <f t="shared" si="5"/>
        <v>3.3352907569518836E-2</v>
      </c>
    </row>
    <row r="69" spans="1:8">
      <c r="A69">
        <v>1</v>
      </c>
      <c r="B69">
        <v>1.2718848718848701</v>
      </c>
      <c r="C69" t="s">
        <v>125</v>
      </c>
      <c r="D69" t="s">
        <v>131</v>
      </c>
      <c r="E69">
        <v>30</v>
      </c>
      <c r="F69">
        <v>87.5</v>
      </c>
      <c r="G69">
        <v>140</v>
      </c>
      <c r="H69">
        <f t="shared" si="5"/>
        <v>3.7098285358750364E-2</v>
      </c>
    </row>
    <row r="70" spans="1:8">
      <c r="A70">
        <v>2</v>
      </c>
      <c r="B70">
        <v>0.92088452088452</v>
      </c>
      <c r="C70" t="s">
        <v>125</v>
      </c>
      <c r="D70" t="s">
        <v>131</v>
      </c>
      <c r="E70">
        <v>30</v>
      </c>
      <c r="F70">
        <v>175</v>
      </c>
      <c r="G70">
        <v>280</v>
      </c>
      <c r="H70">
        <f t="shared" si="5"/>
        <v>2.8005223465688539E-2</v>
      </c>
    </row>
    <row r="71" spans="1:8">
      <c r="A71">
        <v>3</v>
      </c>
      <c r="B71">
        <v>0.65377325377325302</v>
      </c>
      <c r="C71" t="s">
        <v>125</v>
      </c>
      <c r="D71" t="s">
        <v>131</v>
      </c>
      <c r="E71">
        <v>30</v>
      </c>
      <c r="F71">
        <v>262.5</v>
      </c>
      <c r="G71">
        <v>420</v>
      </c>
      <c r="H71">
        <f t="shared" si="5"/>
        <v>2.3865981768971763E-2</v>
      </c>
    </row>
    <row r="72" spans="1:8">
      <c r="A72">
        <v>4</v>
      </c>
      <c r="B72">
        <v>0.493015093015093</v>
      </c>
      <c r="C72" t="s">
        <v>125</v>
      </c>
      <c r="D72" t="s">
        <v>131</v>
      </c>
      <c r="E72">
        <v>30</v>
      </c>
      <c r="F72">
        <v>350</v>
      </c>
      <c r="G72">
        <v>560</v>
      </c>
      <c r="H72">
        <f t="shared" si="5"/>
        <v>1.8667236663249921E-2</v>
      </c>
    </row>
    <row r="73" spans="1:8">
      <c r="A73">
        <v>5</v>
      </c>
      <c r="B73">
        <v>0.35296595296595301</v>
      </c>
      <c r="C73" t="s">
        <v>125</v>
      </c>
      <c r="D73" t="s">
        <v>131</v>
      </c>
      <c r="E73">
        <v>30</v>
      </c>
      <c r="F73">
        <v>437.5</v>
      </c>
      <c r="G73">
        <v>700</v>
      </c>
      <c r="H73">
        <f t="shared" si="5"/>
        <v>1.4610106400139622E-2</v>
      </c>
    </row>
    <row r="74" spans="1:8">
      <c r="A74">
        <v>1</v>
      </c>
      <c r="B74">
        <v>1.5095121095121</v>
      </c>
      <c r="C74" t="s">
        <v>125</v>
      </c>
      <c r="D74" t="s">
        <v>132</v>
      </c>
      <c r="E74">
        <v>20</v>
      </c>
      <c r="F74">
        <v>52.5</v>
      </c>
      <c r="G74">
        <v>70</v>
      </c>
      <c r="H74">
        <f t="shared" si="5"/>
        <v>5.3326064555300083E-2</v>
      </c>
    </row>
    <row r="75" spans="1:8">
      <c r="A75">
        <v>2</v>
      </c>
      <c r="B75">
        <v>1.26872586872586</v>
      </c>
      <c r="C75" t="s">
        <v>125</v>
      </c>
      <c r="D75" t="s">
        <v>132</v>
      </c>
      <c r="E75">
        <v>20</v>
      </c>
      <c r="F75">
        <v>105</v>
      </c>
      <c r="G75">
        <v>140</v>
      </c>
      <c r="H75">
        <f t="shared" si="5"/>
        <v>4.8175052698640336E-2</v>
      </c>
    </row>
    <row r="76" spans="1:8">
      <c r="A76">
        <v>3</v>
      </c>
      <c r="B76">
        <v>1.0019656019656</v>
      </c>
      <c r="C76" t="s">
        <v>125</v>
      </c>
      <c r="D76" t="s">
        <v>132</v>
      </c>
      <c r="E76">
        <v>20</v>
      </c>
      <c r="F76">
        <v>157.5</v>
      </c>
      <c r="G76">
        <v>210</v>
      </c>
      <c r="H76">
        <f t="shared" si="5"/>
        <v>4.4836573692387555E-2</v>
      </c>
    </row>
    <row r="77" spans="1:8">
      <c r="A77">
        <v>4</v>
      </c>
      <c r="B77">
        <v>0.87911547911547805</v>
      </c>
      <c r="C77" t="s">
        <v>125</v>
      </c>
      <c r="D77" t="s">
        <v>132</v>
      </c>
      <c r="E77">
        <v>20</v>
      </c>
      <c r="F77">
        <v>210</v>
      </c>
      <c r="G77">
        <v>280</v>
      </c>
      <c r="H77">
        <f t="shared" si="5"/>
        <v>4.1644566705031735E-2</v>
      </c>
    </row>
    <row r="78" spans="1:8">
      <c r="A78">
        <v>5</v>
      </c>
      <c r="B78">
        <v>0.76504036504036499</v>
      </c>
      <c r="C78" t="s">
        <v>125</v>
      </c>
      <c r="D78" t="s">
        <v>132</v>
      </c>
      <c r="E78">
        <v>20</v>
      </c>
      <c r="F78">
        <v>262.5</v>
      </c>
      <c r="G78">
        <v>350</v>
      </c>
      <c r="H78">
        <f t="shared" si="5"/>
        <v>3.8198360935902453E-2</v>
      </c>
    </row>
    <row r="79" spans="1:8">
      <c r="A79">
        <v>1</v>
      </c>
      <c r="B79">
        <v>1.4786240786240701</v>
      </c>
      <c r="C79" t="s">
        <v>125</v>
      </c>
      <c r="D79" t="s">
        <v>132</v>
      </c>
      <c r="E79">
        <v>30</v>
      </c>
      <c r="F79">
        <v>87.5</v>
      </c>
      <c r="G79">
        <v>140</v>
      </c>
      <c r="H79">
        <f t="shared" si="5"/>
        <v>4.1375274882251283E-2</v>
      </c>
    </row>
    <row r="80" spans="1:8">
      <c r="A80">
        <v>2</v>
      </c>
      <c r="B80">
        <v>1.2220428220428201</v>
      </c>
      <c r="C80" t="s">
        <v>125</v>
      </c>
      <c r="D80" t="s">
        <v>132</v>
      </c>
      <c r="E80">
        <v>30</v>
      </c>
      <c r="F80">
        <v>175</v>
      </c>
      <c r="G80">
        <v>280</v>
      </c>
      <c r="H80">
        <f t="shared" si="5"/>
        <v>3.422982995076005E-2</v>
      </c>
    </row>
    <row r="81" spans="1:8">
      <c r="A81">
        <v>3</v>
      </c>
      <c r="B81">
        <v>0.89701649701649699</v>
      </c>
      <c r="C81" t="s">
        <v>125</v>
      </c>
      <c r="D81" t="s">
        <v>132</v>
      </c>
      <c r="E81">
        <v>30</v>
      </c>
      <c r="F81">
        <v>262.5</v>
      </c>
      <c r="G81">
        <v>420</v>
      </c>
      <c r="H81">
        <f t="shared" si="5"/>
        <v>2.8587972051094899E-2</v>
      </c>
    </row>
    <row r="82" spans="1:8">
      <c r="A82">
        <v>4</v>
      </c>
      <c r="B82">
        <v>0.72502632502632502</v>
      </c>
      <c r="C82" t="s">
        <v>125</v>
      </c>
      <c r="D82" t="s">
        <v>132</v>
      </c>
      <c r="E82">
        <v>30</v>
      </c>
      <c r="F82">
        <v>350</v>
      </c>
      <c r="G82">
        <v>560</v>
      </c>
      <c r="H82">
        <f t="shared" si="5"/>
        <v>2.3929883268089206E-2</v>
      </c>
    </row>
    <row r="83" spans="1:8">
      <c r="A83">
        <v>5</v>
      </c>
      <c r="B83">
        <v>0.522850122850122</v>
      </c>
      <c r="C83" t="s">
        <v>125</v>
      </c>
      <c r="D83" t="s">
        <v>132</v>
      </c>
      <c r="E83">
        <v>30</v>
      </c>
      <c r="F83">
        <v>437.5</v>
      </c>
      <c r="G83">
        <v>700</v>
      </c>
      <c r="H83">
        <f t="shared" si="5"/>
        <v>1.9263427486683238E-2</v>
      </c>
    </row>
    <row r="84" spans="1:8">
      <c r="A84">
        <v>1</v>
      </c>
      <c r="B84">
        <v>0.84232152028762197</v>
      </c>
      <c r="C84" t="s">
        <v>126</v>
      </c>
      <c r="D84" t="s">
        <v>131</v>
      </c>
      <c r="E84">
        <v>20</v>
      </c>
      <c r="F84">
        <v>52.5</v>
      </c>
      <c r="G84">
        <v>70</v>
      </c>
      <c r="H84">
        <f>B84*B4/100</f>
        <v>2.6475449542063642E-2</v>
      </c>
    </row>
    <row r="85" spans="1:8">
      <c r="A85">
        <v>2</v>
      </c>
      <c r="B85">
        <v>0.70633866425800895</v>
      </c>
      <c r="C85" t="s">
        <v>126</v>
      </c>
      <c r="D85" t="s">
        <v>131</v>
      </c>
      <c r="E85">
        <v>20</v>
      </c>
      <c r="F85">
        <v>105</v>
      </c>
      <c r="G85">
        <v>140</v>
      </c>
      <c r="H85">
        <f t="shared" ref="H85:H103" si="6">B85*B5/100</f>
        <v>2.38512497791309E-2</v>
      </c>
    </row>
    <row r="86" spans="1:8">
      <c r="A86">
        <v>3</v>
      </c>
      <c r="B86">
        <v>0.48082815294971898</v>
      </c>
      <c r="C86" t="s">
        <v>126</v>
      </c>
      <c r="D86" t="s">
        <v>131</v>
      </c>
      <c r="E86">
        <v>20</v>
      </c>
      <c r="F86">
        <v>157.5</v>
      </c>
      <c r="G86">
        <v>210</v>
      </c>
      <c r="H86">
        <f t="shared" si="6"/>
        <v>1.9277144346830196E-2</v>
      </c>
    </row>
    <row r="87" spans="1:8">
      <c r="A87">
        <v>4</v>
      </c>
      <c r="B87">
        <v>0.45011777624284899</v>
      </c>
      <c r="C87" t="s">
        <v>126</v>
      </c>
      <c r="D87" t="s">
        <v>131</v>
      </c>
      <c r="E87">
        <v>20</v>
      </c>
      <c r="F87">
        <v>210</v>
      </c>
      <c r="G87">
        <v>280</v>
      </c>
      <c r="H87">
        <f t="shared" si="6"/>
        <v>1.8408138868362008E-2</v>
      </c>
    </row>
    <row r="88" spans="1:8">
      <c r="A88">
        <v>5</v>
      </c>
      <c r="B88">
        <v>0.38577475514939003</v>
      </c>
      <c r="C88" t="s">
        <v>126</v>
      </c>
      <c r="D88" t="s">
        <v>131</v>
      </c>
      <c r="E88">
        <v>20</v>
      </c>
      <c r="F88">
        <v>262.5</v>
      </c>
      <c r="G88">
        <v>350</v>
      </c>
      <c r="H88">
        <f t="shared" si="6"/>
        <v>1.7551113703452192E-2</v>
      </c>
    </row>
    <row r="89" spans="1:8">
      <c r="A89">
        <v>1</v>
      </c>
      <c r="B89">
        <v>0.64736198926730704</v>
      </c>
      <c r="C89" t="s">
        <v>126</v>
      </c>
      <c r="D89" t="s">
        <v>131</v>
      </c>
      <c r="E89">
        <v>30</v>
      </c>
      <c r="F89">
        <v>87.5</v>
      </c>
      <c r="G89">
        <v>140</v>
      </c>
      <c r="H89">
        <f t="shared" si="6"/>
        <v>1.8882227738628812E-2</v>
      </c>
    </row>
    <row r="90" spans="1:8">
      <c r="A90">
        <v>2</v>
      </c>
      <c r="B90">
        <v>0.46295804332040402</v>
      </c>
      <c r="C90" t="s">
        <v>126</v>
      </c>
      <c r="D90" t="s">
        <v>131</v>
      </c>
      <c r="E90">
        <v>30</v>
      </c>
      <c r="F90">
        <v>175</v>
      </c>
      <c r="G90">
        <v>280</v>
      </c>
      <c r="H90">
        <f t="shared" si="6"/>
        <v>1.4079119764085695E-2</v>
      </c>
    </row>
    <row r="91" spans="1:8">
      <c r="A91">
        <v>3</v>
      </c>
      <c r="B91">
        <v>0.27123957281759697</v>
      </c>
      <c r="C91" t="s">
        <v>126</v>
      </c>
      <c r="D91" t="s">
        <v>131</v>
      </c>
      <c r="E91">
        <v>30</v>
      </c>
      <c r="F91">
        <v>262.5</v>
      </c>
      <c r="G91">
        <v>420</v>
      </c>
      <c r="H91">
        <f t="shared" si="6"/>
        <v>9.901596100065628E-3</v>
      </c>
    </row>
    <row r="92" spans="1:8">
      <c r="A92">
        <v>4</v>
      </c>
      <c r="B92">
        <v>0.19910383791155301</v>
      </c>
      <c r="C92" t="s">
        <v>126</v>
      </c>
      <c r="D92" t="s">
        <v>131</v>
      </c>
      <c r="E92">
        <v>30</v>
      </c>
      <c r="F92">
        <v>350</v>
      </c>
      <c r="G92">
        <v>560</v>
      </c>
      <c r="H92">
        <f t="shared" si="6"/>
        <v>7.5387518871405622E-3</v>
      </c>
    </row>
    <row r="93" spans="1:8">
      <c r="A93">
        <v>5</v>
      </c>
      <c r="B93">
        <v>0.15312682641729999</v>
      </c>
      <c r="C93" t="s">
        <v>126</v>
      </c>
      <c r="D93" t="s">
        <v>131</v>
      </c>
      <c r="E93">
        <v>30</v>
      </c>
      <c r="F93">
        <v>437.5</v>
      </c>
      <c r="G93">
        <v>700</v>
      </c>
      <c r="H93">
        <f t="shared" si="6"/>
        <v>6.3382861941028712E-3</v>
      </c>
    </row>
    <row r="94" spans="1:8">
      <c r="A94">
        <v>1</v>
      </c>
      <c r="B94">
        <v>0.87953172874271601</v>
      </c>
      <c r="C94" t="s">
        <v>126</v>
      </c>
      <c r="D94" t="s">
        <v>132</v>
      </c>
      <c r="E94">
        <v>20</v>
      </c>
      <c r="F94">
        <v>52.5</v>
      </c>
      <c r="G94">
        <v>70</v>
      </c>
      <c r="H94">
        <f t="shared" si="6"/>
        <v>3.1070943684266484E-2</v>
      </c>
    </row>
    <row r="95" spans="1:8">
      <c r="A95">
        <v>2</v>
      </c>
      <c r="B95">
        <v>0.74370826913199695</v>
      </c>
      <c r="C95" t="s">
        <v>126</v>
      </c>
      <c r="D95" t="s">
        <v>132</v>
      </c>
      <c r="E95">
        <v>20</v>
      </c>
      <c r="F95">
        <v>105</v>
      </c>
      <c r="G95">
        <v>140</v>
      </c>
      <c r="H95">
        <f t="shared" si="6"/>
        <v>2.8239500699886903E-2</v>
      </c>
    </row>
    <row r="96" spans="1:8">
      <c r="A96">
        <v>3</v>
      </c>
      <c r="B96">
        <v>0.52567167879850496</v>
      </c>
      <c r="C96" t="s">
        <v>126</v>
      </c>
      <c r="D96" t="s">
        <v>132</v>
      </c>
      <c r="E96">
        <v>20</v>
      </c>
      <c r="F96">
        <v>157.5</v>
      </c>
      <c r="G96">
        <v>210</v>
      </c>
      <c r="H96">
        <f t="shared" si="6"/>
        <v>2.3523079952259118E-2</v>
      </c>
    </row>
    <row r="97" spans="1:8">
      <c r="A97">
        <v>4</v>
      </c>
      <c r="B97">
        <v>0.48359102421054401</v>
      </c>
      <c r="C97" t="s">
        <v>126</v>
      </c>
      <c r="D97" t="s">
        <v>132</v>
      </c>
      <c r="E97">
        <v>20</v>
      </c>
      <c r="F97">
        <v>210</v>
      </c>
      <c r="G97">
        <v>280</v>
      </c>
      <c r="H97">
        <f t="shared" si="6"/>
        <v>2.2908183445880633E-2</v>
      </c>
    </row>
    <row r="98" spans="1:8">
      <c r="A98">
        <v>5</v>
      </c>
      <c r="B98">
        <v>0.43403644864778701</v>
      </c>
      <c r="C98" t="s">
        <v>126</v>
      </c>
      <c r="D98" t="s">
        <v>132</v>
      </c>
      <c r="E98">
        <v>20</v>
      </c>
      <c r="F98">
        <v>262.5</v>
      </c>
      <c r="G98">
        <v>350</v>
      </c>
      <c r="H98">
        <f t="shared" si="6"/>
        <v>2.1671380599519993E-2</v>
      </c>
    </row>
    <row r="99" spans="1:8">
      <c r="A99">
        <v>1</v>
      </c>
      <c r="B99">
        <v>0.81226643996953696</v>
      </c>
      <c r="C99" t="s">
        <v>126</v>
      </c>
      <c r="D99" t="s">
        <v>132</v>
      </c>
      <c r="E99">
        <v>30</v>
      </c>
      <c r="F99">
        <v>87.5</v>
      </c>
      <c r="G99">
        <v>140</v>
      </c>
      <c r="H99">
        <f t="shared" si="6"/>
        <v>2.2729068001273767E-2</v>
      </c>
    </row>
    <row r="100" spans="1:8">
      <c r="A100">
        <v>2</v>
      </c>
      <c r="B100">
        <v>0.63533641499743199</v>
      </c>
      <c r="C100" t="s">
        <v>126</v>
      </c>
      <c r="D100" t="s">
        <v>132</v>
      </c>
      <c r="E100">
        <v>30</v>
      </c>
      <c r="F100">
        <v>175</v>
      </c>
      <c r="G100">
        <v>280</v>
      </c>
      <c r="H100">
        <f t="shared" si="6"/>
        <v>1.7795986404579193E-2</v>
      </c>
    </row>
    <row r="101" spans="1:8">
      <c r="A101">
        <v>3</v>
      </c>
      <c r="B101">
        <v>0.43630341993872102</v>
      </c>
      <c r="C101" t="s">
        <v>126</v>
      </c>
      <c r="D101" t="s">
        <v>132</v>
      </c>
      <c r="E101">
        <v>30</v>
      </c>
      <c r="F101">
        <v>262.5</v>
      </c>
      <c r="G101">
        <v>420</v>
      </c>
      <c r="H101">
        <f t="shared" si="6"/>
        <v>1.3905017373137436E-2</v>
      </c>
    </row>
    <row r="102" spans="1:8">
      <c r="A102">
        <v>4</v>
      </c>
      <c r="B102">
        <v>0.34142712927049601</v>
      </c>
      <c r="C102" t="s">
        <v>126</v>
      </c>
      <c r="D102" t="s">
        <v>132</v>
      </c>
      <c r="E102">
        <v>30</v>
      </c>
      <c r="F102">
        <v>350</v>
      </c>
      <c r="G102">
        <v>560</v>
      </c>
      <c r="H102">
        <f t="shared" si="6"/>
        <v>1.1268985781592298E-2</v>
      </c>
    </row>
    <row r="103" spans="1:8">
      <c r="A103">
        <v>5</v>
      </c>
      <c r="B103">
        <v>0.25808051290225498</v>
      </c>
      <c r="C103" t="s">
        <v>126</v>
      </c>
      <c r="D103" t="s">
        <v>132</v>
      </c>
      <c r="E103">
        <v>30</v>
      </c>
      <c r="F103">
        <v>437.5</v>
      </c>
      <c r="G103">
        <v>700</v>
      </c>
      <c r="H103">
        <f t="shared" si="6"/>
        <v>9.5084901556840989E-3</v>
      </c>
    </row>
    <row r="104" spans="1:8">
      <c r="A104">
        <v>1</v>
      </c>
      <c r="B104">
        <v>0.84589118459693702</v>
      </c>
      <c r="C104" t="s">
        <v>127</v>
      </c>
      <c r="D104" t="s">
        <v>131</v>
      </c>
      <c r="E104">
        <v>20</v>
      </c>
      <c r="F104">
        <v>52.5</v>
      </c>
      <c r="G104">
        <v>70</v>
      </c>
      <c r="H104">
        <f>B4*B104/100</f>
        <v>2.6587649533429295E-2</v>
      </c>
    </row>
    <row r="105" spans="1:8">
      <c r="A105">
        <v>2</v>
      </c>
      <c r="B105">
        <v>0.83607312283872204</v>
      </c>
      <c r="C105" t="s">
        <v>127</v>
      </c>
      <c r="D105" t="s">
        <v>131</v>
      </c>
      <c r="E105">
        <v>20</v>
      </c>
      <c r="F105">
        <v>105</v>
      </c>
      <c r="G105">
        <v>140</v>
      </c>
      <c r="H105">
        <f t="shared" ref="H105:H123" si="7">B5*B105/100</f>
        <v>2.8232050566554045E-2</v>
      </c>
    </row>
    <row r="106" spans="1:8">
      <c r="A106">
        <v>3</v>
      </c>
      <c r="B106">
        <v>0.75362746972040195</v>
      </c>
      <c r="C106" t="s">
        <v>127</v>
      </c>
      <c r="D106" t="s">
        <v>131</v>
      </c>
      <c r="E106">
        <v>20</v>
      </c>
      <c r="F106">
        <v>157.5</v>
      </c>
      <c r="G106">
        <v>210</v>
      </c>
      <c r="H106">
        <f t="shared" si="7"/>
        <v>3.0214090893832885E-2</v>
      </c>
    </row>
    <row r="107" spans="1:8">
      <c r="A107">
        <v>4</v>
      </c>
      <c r="B107">
        <v>0.62819087007141905</v>
      </c>
      <c r="C107" t="s">
        <v>127</v>
      </c>
      <c r="D107" t="s">
        <v>131</v>
      </c>
      <c r="E107">
        <v>20</v>
      </c>
      <c r="F107">
        <v>210</v>
      </c>
      <c r="G107">
        <v>280</v>
      </c>
      <c r="H107">
        <f t="shared" si="7"/>
        <v>2.5690664493714387E-2</v>
      </c>
    </row>
    <row r="108" spans="1:8">
      <c r="A108">
        <v>5</v>
      </c>
      <c r="B108">
        <v>0.62220445896397703</v>
      </c>
      <c r="C108" t="s">
        <v>127</v>
      </c>
      <c r="D108" t="s">
        <v>131</v>
      </c>
      <c r="E108">
        <v>20</v>
      </c>
      <c r="F108">
        <v>262.5</v>
      </c>
      <c r="G108">
        <v>350</v>
      </c>
      <c r="H108">
        <f t="shared" si="7"/>
        <v>2.8307661557176886E-2</v>
      </c>
    </row>
    <row r="109" spans="1:8">
      <c r="A109">
        <v>1</v>
      </c>
      <c r="B109">
        <v>0.93513997254418102</v>
      </c>
      <c r="C109" t="s">
        <v>127</v>
      </c>
      <c r="D109" t="s">
        <v>131</v>
      </c>
      <c r="E109">
        <v>30</v>
      </c>
      <c r="F109">
        <v>87.5</v>
      </c>
      <c r="G109">
        <v>140</v>
      </c>
      <c r="H109">
        <f t="shared" si="7"/>
        <v>2.7276124057050901E-2</v>
      </c>
    </row>
    <row r="110" spans="1:8">
      <c r="A110">
        <v>2</v>
      </c>
      <c r="B110">
        <v>0.88255686656124499</v>
      </c>
      <c r="C110" t="s">
        <v>127</v>
      </c>
      <c r="D110" t="s">
        <v>131</v>
      </c>
      <c r="E110">
        <v>30</v>
      </c>
      <c r="F110">
        <v>175</v>
      </c>
      <c r="G110">
        <v>280</v>
      </c>
      <c r="H110">
        <f t="shared" si="7"/>
        <v>2.6839632666955174E-2</v>
      </c>
    </row>
    <row r="111" spans="1:8">
      <c r="A111">
        <v>3</v>
      </c>
      <c r="B111">
        <v>0.86530140580742598</v>
      </c>
      <c r="C111" t="s">
        <v>127</v>
      </c>
      <c r="D111" t="s">
        <v>131</v>
      </c>
      <c r="E111">
        <v>30</v>
      </c>
      <c r="F111">
        <v>262.5</v>
      </c>
      <c r="G111">
        <v>420</v>
      </c>
      <c r="H111">
        <f t="shared" si="7"/>
        <v>3.1587813445222566E-2</v>
      </c>
    </row>
    <row r="112" spans="1:8">
      <c r="A112">
        <v>4</v>
      </c>
      <c r="B112">
        <v>0.66560376735537796</v>
      </c>
      <c r="C112" t="s">
        <v>127</v>
      </c>
      <c r="D112" t="s">
        <v>131</v>
      </c>
      <c r="E112">
        <v>30</v>
      </c>
      <c r="F112">
        <v>350</v>
      </c>
      <c r="G112">
        <v>560</v>
      </c>
      <c r="H112">
        <f t="shared" si="7"/>
        <v>2.520203382250857E-2</v>
      </c>
    </row>
    <row r="113" spans="1:8">
      <c r="A113">
        <v>5</v>
      </c>
      <c r="B113">
        <v>0.57701530922550204</v>
      </c>
      <c r="C113" t="s">
        <v>127</v>
      </c>
      <c r="D113" t="s">
        <v>131</v>
      </c>
      <c r="E113">
        <v>30</v>
      </c>
      <c r="F113">
        <v>437.5</v>
      </c>
      <c r="G113">
        <v>700</v>
      </c>
      <c r="H113">
        <f t="shared" si="7"/>
        <v>2.3884046014792902E-2</v>
      </c>
    </row>
    <row r="114" spans="1:8">
      <c r="A114">
        <v>1</v>
      </c>
      <c r="B114">
        <v>0.83067753314681803</v>
      </c>
      <c r="C114" t="s">
        <v>127</v>
      </c>
      <c r="D114" t="s">
        <v>132</v>
      </c>
      <c r="E114">
        <v>20</v>
      </c>
      <c r="F114">
        <v>52.5</v>
      </c>
      <c r="G114">
        <v>70</v>
      </c>
      <c r="H114">
        <f t="shared" si="7"/>
        <v>2.9345086719140077E-2</v>
      </c>
    </row>
    <row r="115" spans="1:8">
      <c r="A115">
        <v>2</v>
      </c>
      <c r="B115">
        <v>0.77076997932125002</v>
      </c>
      <c r="C115" t="s">
        <v>127</v>
      </c>
      <c r="D115" t="s">
        <v>132</v>
      </c>
      <c r="E115">
        <v>20</v>
      </c>
      <c r="F115">
        <v>105</v>
      </c>
      <c r="G115">
        <v>140</v>
      </c>
      <c r="H115">
        <f t="shared" si="7"/>
        <v>2.9267066501624566E-2</v>
      </c>
    </row>
    <row r="116" spans="1:8">
      <c r="A116">
        <v>3</v>
      </c>
      <c r="B116">
        <v>0.73294872017655099</v>
      </c>
      <c r="C116" t="s">
        <v>127</v>
      </c>
      <c r="D116" t="s">
        <v>132</v>
      </c>
      <c r="E116">
        <v>20</v>
      </c>
      <c r="F116">
        <v>157.5</v>
      </c>
      <c r="G116">
        <v>210</v>
      </c>
      <c r="H116">
        <f t="shared" si="7"/>
        <v>3.2798440625574819E-2</v>
      </c>
    </row>
    <row r="117" spans="1:8">
      <c r="A117">
        <v>4</v>
      </c>
      <c r="B117">
        <v>0.59263732253636103</v>
      </c>
      <c r="C117" t="s">
        <v>127</v>
      </c>
      <c r="D117" t="s">
        <v>132</v>
      </c>
      <c r="E117">
        <v>20</v>
      </c>
      <c r="F117">
        <v>210</v>
      </c>
      <c r="G117">
        <v>280</v>
      </c>
      <c r="H117">
        <f t="shared" si="7"/>
        <v>2.8073814073992641E-2</v>
      </c>
    </row>
    <row r="118" spans="1:8">
      <c r="A118">
        <v>5</v>
      </c>
      <c r="B118">
        <v>0.55481606339166201</v>
      </c>
      <c r="C118" t="s">
        <v>127</v>
      </c>
      <c r="D118" t="s">
        <v>132</v>
      </c>
      <c r="E118">
        <v>20</v>
      </c>
      <c r="F118">
        <v>262.5</v>
      </c>
      <c r="G118">
        <v>350</v>
      </c>
      <c r="H118">
        <f t="shared" si="7"/>
        <v>2.7701890267388771E-2</v>
      </c>
    </row>
    <row r="119" spans="1:8">
      <c r="A119">
        <v>1</v>
      </c>
      <c r="B119">
        <v>0.91130727926738098</v>
      </c>
      <c r="C119" t="s">
        <v>127</v>
      </c>
      <c r="D119" t="s">
        <v>132</v>
      </c>
      <c r="E119">
        <v>30</v>
      </c>
      <c r="F119">
        <v>87.5</v>
      </c>
      <c r="G119">
        <v>140</v>
      </c>
      <c r="H119">
        <f t="shared" si="7"/>
        <v>2.5500456625169577E-2</v>
      </c>
    </row>
    <row r="120" spans="1:8">
      <c r="A120">
        <v>2</v>
      </c>
      <c r="B120">
        <v>0.90881366535179897</v>
      </c>
      <c r="C120" t="s">
        <v>127</v>
      </c>
      <c r="D120" t="s">
        <v>132</v>
      </c>
      <c r="E120">
        <v>30</v>
      </c>
      <c r="F120">
        <v>175</v>
      </c>
      <c r="G120">
        <v>280</v>
      </c>
      <c r="H120">
        <f t="shared" si="7"/>
        <v>2.5456176052748004E-2</v>
      </c>
    </row>
    <row r="121" spans="1:8">
      <c r="A121">
        <v>3</v>
      </c>
      <c r="B121">
        <v>0.90423479938137497</v>
      </c>
      <c r="C121" t="s">
        <v>127</v>
      </c>
      <c r="D121" t="s">
        <v>132</v>
      </c>
      <c r="E121">
        <v>30</v>
      </c>
      <c r="F121">
        <v>262.5</v>
      </c>
      <c r="G121">
        <v>420</v>
      </c>
      <c r="H121">
        <f t="shared" si="7"/>
        <v>2.8818019800439344E-2</v>
      </c>
    </row>
    <row r="122" spans="1:8">
      <c r="A122">
        <v>4</v>
      </c>
      <c r="B122">
        <v>0.79401185118251105</v>
      </c>
      <c r="C122" t="s">
        <v>127</v>
      </c>
      <c r="D122" t="s">
        <v>132</v>
      </c>
      <c r="E122">
        <v>30</v>
      </c>
      <c r="F122">
        <v>350</v>
      </c>
      <c r="G122">
        <v>560</v>
      </c>
      <c r="H122">
        <f t="shared" si="7"/>
        <v>2.6206787610900908E-2</v>
      </c>
    </row>
    <row r="123" spans="1:8">
      <c r="A123">
        <v>5</v>
      </c>
      <c r="B123">
        <v>0.68181660208177597</v>
      </c>
      <c r="C123" t="s">
        <v>127</v>
      </c>
      <c r="D123" t="s">
        <v>132</v>
      </c>
      <c r="E123">
        <v>30</v>
      </c>
      <c r="F123">
        <v>437.5</v>
      </c>
      <c r="G123">
        <v>700</v>
      </c>
      <c r="H123">
        <f t="shared" si="7"/>
        <v>2.5120247848127643E-2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topLeftCell="A58" workbookViewId="0">
      <selection activeCell="C4" sqref="C4"/>
    </sheetView>
  </sheetViews>
  <sheetFormatPr baseColWidth="10" defaultColWidth="8.85546875" defaultRowHeight="15"/>
  <sheetData>
    <row r="1" spans="1:4">
      <c r="A1" t="s">
        <v>139</v>
      </c>
    </row>
    <row r="2" spans="1:4">
      <c r="A2" t="s">
        <v>140</v>
      </c>
    </row>
    <row r="3" spans="1:4">
      <c r="A3" t="s">
        <v>141</v>
      </c>
      <c r="B3" t="s">
        <v>144</v>
      </c>
      <c r="C3" t="s">
        <v>142</v>
      </c>
      <c r="D3" t="s">
        <v>143</v>
      </c>
    </row>
    <row r="4" spans="1:4">
      <c r="A4">
        <v>-55</v>
      </c>
      <c r="B4" t="s">
        <v>145</v>
      </c>
      <c r="C4" t="s">
        <v>151</v>
      </c>
    </row>
    <row r="5" spans="1:4">
      <c r="A5">
        <v>-44</v>
      </c>
      <c r="B5" t="s">
        <v>145</v>
      </c>
      <c r="C5" t="s">
        <v>152</v>
      </c>
    </row>
    <row r="6" spans="1:4">
      <c r="A6">
        <v>-34</v>
      </c>
      <c r="B6" t="s">
        <v>145</v>
      </c>
      <c r="C6" t="s">
        <v>153</v>
      </c>
    </row>
    <row r="7" spans="1:4">
      <c r="A7">
        <v>-21</v>
      </c>
      <c r="B7" t="s">
        <v>145</v>
      </c>
      <c r="C7" t="s">
        <v>154</v>
      </c>
    </row>
    <row r="8" spans="1:4">
      <c r="A8">
        <v>8</v>
      </c>
      <c r="B8" t="s">
        <v>145</v>
      </c>
    </row>
    <row r="9" spans="1:4">
      <c r="A9">
        <v>19</v>
      </c>
      <c r="B9" t="s">
        <v>145</v>
      </c>
      <c r="C9" t="s">
        <v>155</v>
      </c>
    </row>
    <row r="10" spans="1:4">
      <c r="A10">
        <v>36</v>
      </c>
      <c r="B10" t="s">
        <v>145</v>
      </c>
      <c r="C10" t="s">
        <v>156</v>
      </c>
    </row>
    <row r="11" spans="1:4">
      <c r="A11">
        <v>50</v>
      </c>
      <c r="B11" t="s">
        <v>145</v>
      </c>
      <c r="C11" t="s">
        <v>157</v>
      </c>
    </row>
    <row r="12" spans="1:4">
      <c r="A12">
        <v>-55</v>
      </c>
      <c r="B12" t="s">
        <v>146</v>
      </c>
      <c r="C12" t="s">
        <v>158</v>
      </c>
    </row>
    <row r="13" spans="1:4">
      <c r="A13">
        <v>-44</v>
      </c>
      <c r="B13" t="s">
        <v>146</v>
      </c>
      <c r="C13" t="s">
        <v>159</v>
      </c>
    </row>
    <row r="14" spans="1:4">
      <c r="A14">
        <v>-34</v>
      </c>
      <c r="B14" t="s">
        <v>146</v>
      </c>
      <c r="C14" t="s">
        <v>163</v>
      </c>
    </row>
    <row r="15" spans="1:4">
      <c r="A15">
        <v>-21</v>
      </c>
      <c r="B15" t="s">
        <v>146</v>
      </c>
      <c r="C15" t="s">
        <v>160</v>
      </c>
    </row>
    <row r="16" spans="1:4">
      <c r="A16">
        <v>8</v>
      </c>
      <c r="B16" t="s">
        <v>146</v>
      </c>
    </row>
    <row r="17" spans="1:3">
      <c r="A17">
        <v>19</v>
      </c>
      <c r="B17" t="s">
        <v>146</v>
      </c>
      <c r="C17" t="s">
        <v>161</v>
      </c>
    </row>
    <row r="18" spans="1:3">
      <c r="A18">
        <v>36</v>
      </c>
      <c r="B18" t="s">
        <v>146</v>
      </c>
      <c r="C18">
        <v>2</v>
      </c>
    </row>
    <row r="19" spans="1:3">
      <c r="A19">
        <v>50</v>
      </c>
      <c r="B19" t="s">
        <v>146</v>
      </c>
      <c r="C19" t="s">
        <v>162</v>
      </c>
    </row>
    <row r="20" spans="1:3">
      <c r="A20">
        <v>-55</v>
      </c>
      <c r="B20" t="s">
        <v>147</v>
      </c>
      <c r="C20" t="s">
        <v>164</v>
      </c>
    </row>
    <row r="21" spans="1:3">
      <c r="A21">
        <v>-44</v>
      </c>
      <c r="B21" t="s">
        <v>147</v>
      </c>
      <c r="C21" t="s">
        <v>165</v>
      </c>
    </row>
    <row r="22" spans="1:3">
      <c r="A22">
        <v>-34</v>
      </c>
      <c r="B22" t="s">
        <v>147</v>
      </c>
      <c r="C22" t="s">
        <v>166</v>
      </c>
    </row>
    <row r="23" spans="1:3">
      <c r="A23">
        <v>-21</v>
      </c>
      <c r="B23" t="s">
        <v>147</v>
      </c>
      <c r="C23" t="s">
        <v>167</v>
      </c>
    </row>
    <row r="24" spans="1:3">
      <c r="A24">
        <v>8</v>
      </c>
      <c r="B24" t="s">
        <v>147</v>
      </c>
    </row>
    <row r="25" spans="1:3">
      <c r="A25">
        <v>19</v>
      </c>
      <c r="B25" t="s">
        <v>147</v>
      </c>
    </row>
    <row r="26" spans="1:3">
      <c r="A26">
        <v>36</v>
      </c>
      <c r="B26" t="s">
        <v>147</v>
      </c>
      <c r="C26" t="s">
        <v>157</v>
      </c>
    </row>
    <row r="27" spans="1:3">
      <c r="A27">
        <v>50</v>
      </c>
      <c r="B27" t="s">
        <v>147</v>
      </c>
      <c r="C27" t="s">
        <v>162</v>
      </c>
    </row>
    <row r="28" spans="1:3">
      <c r="A28">
        <v>-55</v>
      </c>
      <c r="B28" t="s">
        <v>148</v>
      </c>
      <c r="C28" t="s">
        <v>168</v>
      </c>
    </row>
    <row r="29" spans="1:3">
      <c r="A29">
        <v>-44</v>
      </c>
      <c r="B29" t="s">
        <v>148</v>
      </c>
      <c r="C29" t="s">
        <v>169</v>
      </c>
    </row>
    <row r="30" spans="1:3">
      <c r="A30">
        <v>-34</v>
      </c>
      <c r="B30" t="s">
        <v>148</v>
      </c>
      <c r="C30" t="s">
        <v>170</v>
      </c>
    </row>
    <row r="31" spans="1:3">
      <c r="A31">
        <v>-21</v>
      </c>
      <c r="B31" t="s">
        <v>148</v>
      </c>
      <c r="C31" t="s">
        <v>171</v>
      </c>
    </row>
    <row r="32" spans="1:3">
      <c r="A32">
        <v>8</v>
      </c>
      <c r="B32" t="s">
        <v>148</v>
      </c>
      <c r="C32" t="s">
        <v>172</v>
      </c>
    </row>
    <row r="33" spans="1:3">
      <c r="A33">
        <v>19</v>
      </c>
      <c r="B33" t="s">
        <v>148</v>
      </c>
      <c r="C33">
        <v>3</v>
      </c>
    </row>
    <row r="34" spans="1:3">
      <c r="A34">
        <v>36</v>
      </c>
      <c r="B34" t="s">
        <v>148</v>
      </c>
    </row>
    <row r="35" spans="1:3">
      <c r="A35">
        <v>50</v>
      </c>
      <c r="B35" t="s">
        <v>148</v>
      </c>
      <c r="C35" t="s">
        <v>173</v>
      </c>
    </row>
    <row r="36" spans="1:3">
      <c r="A36">
        <v>-55</v>
      </c>
      <c r="B36" t="s">
        <v>149</v>
      </c>
      <c r="C36" t="s">
        <v>157</v>
      </c>
    </row>
    <row r="37" spans="1:3">
      <c r="A37">
        <v>-44</v>
      </c>
      <c r="B37" t="s">
        <v>149</v>
      </c>
      <c r="C37" t="s">
        <v>174</v>
      </c>
    </row>
    <row r="38" spans="1:3">
      <c r="A38">
        <v>-34</v>
      </c>
      <c r="B38" t="s">
        <v>149</v>
      </c>
      <c r="C38" t="s">
        <v>175</v>
      </c>
    </row>
    <row r="39" spans="1:3">
      <c r="A39">
        <v>-21</v>
      </c>
      <c r="B39" t="s">
        <v>149</v>
      </c>
      <c r="C39" t="s">
        <v>176</v>
      </c>
    </row>
    <row r="40" spans="1:3">
      <c r="A40">
        <v>8</v>
      </c>
      <c r="B40" t="s">
        <v>149</v>
      </c>
      <c r="C40" t="s">
        <v>177</v>
      </c>
    </row>
    <row r="41" spans="1:3">
      <c r="A41">
        <v>19</v>
      </c>
      <c r="B41" t="s">
        <v>149</v>
      </c>
      <c r="C41" t="s">
        <v>178</v>
      </c>
    </row>
    <row r="42" spans="1:3">
      <c r="A42">
        <v>36</v>
      </c>
      <c r="B42" t="s">
        <v>149</v>
      </c>
    </row>
    <row r="43" spans="1:3">
      <c r="A43">
        <v>50</v>
      </c>
      <c r="B43" t="s">
        <v>149</v>
      </c>
      <c r="C43" t="s">
        <v>179</v>
      </c>
    </row>
    <row r="44" spans="1:3">
      <c r="A44">
        <v>-55</v>
      </c>
      <c r="B44" t="s">
        <v>150</v>
      </c>
      <c r="C44" t="s">
        <v>180</v>
      </c>
    </row>
    <row r="45" spans="1:3">
      <c r="A45">
        <v>-44</v>
      </c>
      <c r="B45" t="s">
        <v>150</v>
      </c>
      <c r="C45" t="s">
        <v>181</v>
      </c>
    </row>
    <row r="46" spans="1:3">
      <c r="A46">
        <v>-34</v>
      </c>
      <c r="B46" t="s">
        <v>150</v>
      </c>
      <c r="C46" t="s">
        <v>182</v>
      </c>
    </row>
    <row r="47" spans="1:3">
      <c r="A47">
        <v>-21</v>
      </c>
      <c r="B47" t="s">
        <v>150</v>
      </c>
      <c r="C47" t="s">
        <v>183</v>
      </c>
    </row>
    <row r="48" spans="1:3">
      <c r="A48">
        <v>8</v>
      </c>
      <c r="B48" t="s">
        <v>150</v>
      </c>
      <c r="C48" t="s">
        <v>184</v>
      </c>
    </row>
    <row r="49" spans="1:3">
      <c r="A49">
        <v>19</v>
      </c>
      <c r="B49" t="s">
        <v>150</v>
      </c>
      <c r="C49" t="s">
        <v>151</v>
      </c>
    </row>
    <row r="50" spans="1:3">
      <c r="A50">
        <v>36</v>
      </c>
      <c r="B50" t="s">
        <v>150</v>
      </c>
    </row>
    <row r="51" spans="1:3">
      <c r="A51">
        <v>50</v>
      </c>
      <c r="B51" t="s">
        <v>150</v>
      </c>
      <c r="C51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4"/>
  <sheetViews>
    <sheetView workbookViewId="0">
      <selection activeCell="L20" sqref="L20"/>
    </sheetView>
  </sheetViews>
  <sheetFormatPr baseColWidth="10" defaultRowHeight="15"/>
  <cols>
    <col min="1" max="1" width="5.7109375" customWidth="1"/>
    <col min="2" max="2" width="8.7109375" customWidth="1"/>
    <col min="3" max="3" width="4.42578125" customWidth="1"/>
    <col min="4" max="4" width="8.5703125" customWidth="1"/>
    <col min="5" max="5" width="9.85546875" customWidth="1"/>
    <col min="6" max="6" width="8.28515625" customWidth="1"/>
    <col min="7" max="7" width="7.7109375" customWidth="1"/>
    <col min="8" max="8" width="11.5703125" customWidth="1"/>
    <col min="9" max="9" width="9.85546875" customWidth="1"/>
    <col min="13" max="13" width="12.42578125" customWidth="1"/>
  </cols>
  <sheetData>
    <row r="1" spans="1:13">
      <c r="A1" t="s">
        <v>128</v>
      </c>
    </row>
    <row r="2" spans="1:13">
      <c r="A2" t="s">
        <v>130</v>
      </c>
      <c r="G2" t="s">
        <v>188</v>
      </c>
    </row>
    <row r="3" spans="1:13">
      <c r="H3" t="s">
        <v>192</v>
      </c>
      <c r="K3" t="s">
        <v>193</v>
      </c>
      <c r="L3" t="s">
        <v>194</v>
      </c>
      <c r="M3" t="s">
        <v>194</v>
      </c>
    </row>
    <row r="4" spans="1:13">
      <c r="A4" t="s">
        <v>129</v>
      </c>
      <c r="B4" t="s">
        <v>189</v>
      </c>
      <c r="C4" t="s">
        <v>133</v>
      </c>
      <c r="D4" t="s">
        <v>186</v>
      </c>
      <c r="E4" t="s">
        <v>187</v>
      </c>
      <c r="F4" t="s">
        <v>135</v>
      </c>
      <c r="G4" t="s">
        <v>136</v>
      </c>
      <c r="H4" t="s">
        <v>122</v>
      </c>
      <c r="I4" t="s">
        <v>190</v>
      </c>
      <c r="J4" t="s">
        <v>124</v>
      </c>
      <c r="K4" t="s">
        <v>125</v>
      </c>
      <c r="L4" t="s">
        <v>126</v>
      </c>
      <c r="M4" t="s">
        <v>143</v>
      </c>
    </row>
    <row r="5" spans="1:13">
      <c r="A5">
        <v>1</v>
      </c>
      <c r="B5" t="s">
        <v>191</v>
      </c>
      <c r="C5" t="s">
        <v>131</v>
      </c>
      <c r="D5">
        <v>20</v>
      </c>
      <c r="E5">
        <v>15</v>
      </c>
      <c r="F5">
        <v>52.5</v>
      </c>
      <c r="G5">
        <v>70</v>
      </c>
      <c r="H5" t="s">
        <v>0</v>
      </c>
      <c r="I5" t="s">
        <v>20</v>
      </c>
      <c r="J5" t="s">
        <v>40</v>
      </c>
      <c r="K5" t="s">
        <v>60</v>
      </c>
      <c r="L5" t="s">
        <v>80</v>
      </c>
      <c r="M5" t="s">
        <v>100</v>
      </c>
    </row>
    <row r="6" spans="1:13">
      <c r="A6">
        <v>2</v>
      </c>
      <c r="B6" t="s">
        <v>191</v>
      </c>
      <c r="C6" t="s">
        <v>131</v>
      </c>
      <c r="D6">
        <v>20</v>
      </c>
      <c r="E6">
        <v>15</v>
      </c>
      <c r="F6">
        <v>105</v>
      </c>
      <c r="G6">
        <v>140</v>
      </c>
      <c r="H6" t="s">
        <v>1</v>
      </c>
      <c r="I6" t="s">
        <v>21</v>
      </c>
      <c r="J6" t="s">
        <v>41</v>
      </c>
      <c r="K6" t="s">
        <v>61</v>
      </c>
      <c r="L6" t="s">
        <v>81</v>
      </c>
      <c r="M6" t="s">
        <v>101</v>
      </c>
    </row>
    <row r="7" spans="1:13">
      <c r="A7">
        <v>3</v>
      </c>
      <c r="B7" t="s">
        <v>191</v>
      </c>
      <c r="C7" t="s">
        <v>131</v>
      </c>
      <c r="D7">
        <v>20</v>
      </c>
      <c r="E7">
        <v>15</v>
      </c>
      <c r="F7">
        <v>157.5</v>
      </c>
      <c r="G7">
        <v>210</v>
      </c>
      <c r="H7" t="s">
        <v>2</v>
      </c>
      <c r="I7" t="s">
        <v>22</v>
      </c>
      <c r="J7" t="s">
        <v>42</v>
      </c>
      <c r="K7" t="s">
        <v>62</v>
      </c>
      <c r="L7" t="s">
        <v>82</v>
      </c>
      <c r="M7" t="s">
        <v>102</v>
      </c>
    </row>
    <row r="8" spans="1:13">
      <c r="A8">
        <v>4</v>
      </c>
      <c r="B8" t="s">
        <v>191</v>
      </c>
      <c r="C8" t="s">
        <v>131</v>
      </c>
      <c r="D8">
        <v>20</v>
      </c>
      <c r="E8">
        <v>15</v>
      </c>
      <c r="F8">
        <v>210</v>
      </c>
      <c r="G8">
        <v>280</v>
      </c>
      <c r="H8" t="s">
        <v>3</v>
      </c>
      <c r="I8" t="s">
        <v>23</v>
      </c>
      <c r="J8" t="s">
        <v>43</v>
      </c>
      <c r="K8" t="s">
        <v>63</v>
      </c>
      <c r="L8" t="s">
        <v>83</v>
      </c>
      <c r="M8" t="s">
        <v>103</v>
      </c>
    </row>
    <row r="9" spans="1:13">
      <c r="A9">
        <v>5</v>
      </c>
      <c r="B9" t="s">
        <v>191</v>
      </c>
      <c r="C9" t="s">
        <v>131</v>
      </c>
      <c r="D9">
        <v>20</v>
      </c>
      <c r="E9">
        <v>15</v>
      </c>
      <c r="F9">
        <v>262.5</v>
      </c>
      <c r="G9">
        <v>350</v>
      </c>
      <c r="H9" t="s">
        <v>4</v>
      </c>
      <c r="I9" t="s">
        <v>24</v>
      </c>
      <c r="J9" t="s">
        <v>44</v>
      </c>
      <c r="K9" t="s">
        <v>64</v>
      </c>
      <c r="L9" t="s">
        <v>84</v>
      </c>
      <c r="M9" t="s">
        <v>104</v>
      </c>
    </row>
    <row r="10" spans="1:13">
      <c r="A10">
        <v>1</v>
      </c>
      <c r="B10" t="s">
        <v>191</v>
      </c>
      <c r="C10" t="s">
        <v>131</v>
      </c>
      <c r="D10">
        <v>30</v>
      </c>
      <c r="E10">
        <v>15</v>
      </c>
      <c r="F10">
        <v>87.5</v>
      </c>
      <c r="G10">
        <v>140</v>
      </c>
      <c r="H10" t="s">
        <v>5</v>
      </c>
      <c r="I10" t="s">
        <v>25</v>
      </c>
      <c r="J10" t="s">
        <v>45</v>
      </c>
      <c r="K10" t="s">
        <v>65</v>
      </c>
      <c r="L10" t="s">
        <v>85</v>
      </c>
      <c r="M10" t="s">
        <v>105</v>
      </c>
    </row>
    <row r="11" spans="1:13">
      <c r="A11">
        <v>2</v>
      </c>
      <c r="B11" t="s">
        <v>191</v>
      </c>
      <c r="C11" t="s">
        <v>131</v>
      </c>
      <c r="D11">
        <v>30</v>
      </c>
      <c r="E11">
        <v>15</v>
      </c>
      <c r="F11">
        <v>175</v>
      </c>
      <c r="G11">
        <v>280</v>
      </c>
      <c r="H11" t="s">
        <v>6</v>
      </c>
      <c r="I11" t="s">
        <v>26</v>
      </c>
      <c r="J11" t="s">
        <v>46</v>
      </c>
      <c r="K11" t="s">
        <v>66</v>
      </c>
      <c r="L11" t="s">
        <v>86</v>
      </c>
      <c r="M11" t="s">
        <v>106</v>
      </c>
    </row>
    <row r="12" spans="1:13">
      <c r="A12">
        <v>3</v>
      </c>
      <c r="B12" t="s">
        <v>191</v>
      </c>
      <c r="C12" t="s">
        <v>131</v>
      </c>
      <c r="D12">
        <v>30</v>
      </c>
      <c r="E12">
        <v>15</v>
      </c>
      <c r="F12">
        <v>262.5</v>
      </c>
      <c r="G12">
        <v>420</v>
      </c>
      <c r="H12" t="s">
        <v>7</v>
      </c>
      <c r="I12" t="s">
        <v>27</v>
      </c>
      <c r="J12" t="s">
        <v>47</v>
      </c>
      <c r="K12" t="s">
        <v>67</v>
      </c>
      <c r="L12" t="s">
        <v>87</v>
      </c>
      <c r="M12" t="s">
        <v>107</v>
      </c>
    </row>
    <row r="13" spans="1:13">
      <c r="A13">
        <v>4</v>
      </c>
      <c r="B13" t="s">
        <v>191</v>
      </c>
      <c r="C13" t="s">
        <v>131</v>
      </c>
      <c r="D13">
        <v>30</v>
      </c>
      <c r="E13">
        <v>15</v>
      </c>
      <c r="F13">
        <v>350</v>
      </c>
      <c r="G13">
        <v>560</v>
      </c>
      <c r="H13" t="s">
        <v>8</v>
      </c>
      <c r="I13" t="s">
        <v>28</v>
      </c>
      <c r="J13" t="s">
        <v>48</v>
      </c>
      <c r="K13" t="s">
        <v>68</v>
      </c>
      <c r="L13" t="s">
        <v>88</v>
      </c>
      <c r="M13" t="s">
        <v>108</v>
      </c>
    </row>
    <row r="14" spans="1:13">
      <c r="A14">
        <v>5</v>
      </c>
      <c r="B14" t="s">
        <v>191</v>
      </c>
      <c r="C14" t="s">
        <v>131</v>
      </c>
      <c r="D14">
        <v>30</v>
      </c>
      <c r="E14">
        <v>15</v>
      </c>
      <c r="F14">
        <v>437.5</v>
      </c>
      <c r="G14">
        <v>700</v>
      </c>
      <c r="H14" t="s">
        <v>9</v>
      </c>
      <c r="I14" t="s">
        <v>29</v>
      </c>
      <c r="J14" t="s">
        <v>49</v>
      </c>
      <c r="K14" t="s">
        <v>69</v>
      </c>
      <c r="L14" t="s">
        <v>89</v>
      </c>
      <c r="M14" t="s">
        <v>109</v>
      </c>
    </row>
    <row r="15" spans="1:13">
      <c r="A15">
        <v>1</v>
      </c>
      <c r="B15" t="s">
        <v>191</v>
      </c>
      <c r="C15" t="s">
        <v>132</v>
      </c>
      <c r="D15">
        <v>20</v>
      </c>
      <c r="E15">
        <v>15</v>
      </c>
      <c r="F15">
        <v>52.5</v>
      </c>
      <c r="G15">
        <v>70</v>
      </c>
      <c r="H15" t="s">
        <v>10</v>
      </c>
      <c r="I15" t="s">
        <v>30</v>
      </c>
      <c r="J15" t="s">
        <v>50</v>
      </c>
      <c r="K15" t="s">
        <v>70</v>
      </c>
      <c r="L15" t="s">
        <v>90</v>
      </c>
      <c r="M15" t="s">
        <v>110</v>
      </c>
    </row>
    <row r="16" spans="1:13">
      <c r="A16">
        <v>2</v>
      </c>
      <c r="B16" t="s">
        <v>191</v>
      </c>
      <c r="C16" t="s">
        <v>132</v>
      </c>
      <c r="D16">
        <v>20</v>
      </c>
      <c r="E16">
        <v>15</v>
      </c>
      <c r="F16">
        <v>105</v>
      </c>
      <c r="G16">
        <v>140</v>
      </c>
      <c r="H16" t="s">
        <v>11</v>
      </c>
      <c r="I16" t="s">
        <v>31</v>
      </c>
      <c r="J16" t="s">
        <v>51</v>
      </c>
      <c r="K16" t="s">
        <v>71</v>
      </c>
      <c r="L16" t="s">
        <v>91</v>
      </c>
      <c r="M16" t="s">
        <v>111</v>
      </c>
    </row>
    <row r="17" spans="1:13">
      <c r="A17">
        <v>3</v>
      </c>
      <c r="B17" t="s">
        <v>191</v>
      </c>
      <c r="C17" t="s">
        <v>132</v>
      </c>
      <c r="D17">
        <v>20</v>
      </c>
      <c r="E17">
        <v>15</v>
      </c>
      <c r="F17">
        <v>157.5</v>
      </c>
      <c r="G17">
        <v>210</v>
      </c>
      <c r="H17" t="s">
        <v>12</v>
      </c>
      <c r="I17" t="s">
        <v>32</v>
      </c>
      <c r="J17" t="s">
        <v>52</v>
      </c>
      <c r="K17" t="s">
        <v>72</v>
      </c>
      <c r="L17" t="s">
        <v>92</v>
      </c>
      <c r="M17" t="s">
        <v>112</v>
      </c>
    </row>
    <row r="18" spans="1:13">
      <c r="A18">
        <v>4</v>
      </c>
      <c r="B18" t="s">
        <v>191</v>
      </c>
      <c r="C18" t="s">
        <v>132</v>
      </c>
      <c r="D18">
        <v>20</v>
      </c>
      <c r="E18">
        <v>15</v>
      </c>
      <c r="F18">
        <v>210</v>
      </c>
      <c r="G18">
        <v>280</v>
      </c>
      <c r="H18" t="s">
        <v>13</v>
      </c>
      <c r="I18" t="s">
        <v>33</v>
      </c>
      <c r="J18" t="s">
        <v>53</v>
      </c>
      <c r="K18" t="s">
        <v>73</v>
      </c>
      <c r="L18" t="s">
        <v>93</v>
      </c>
      <c r="M18" t="s">
        <v>113</v>
      </c>
    </row>
    <row r="19" spans="1:13">
      <c r="A19">
        <v>5</v>
      </c>
      <c r="B19" t="s">
        <v>191</v>
      </c>
      <c r="C19" t="s">
        <v>132</v>
      </c>
      <c r="D19">
        <v>20</v>
      </c>
      <c r="E19">
        <v>15</v>
      </c>
      <c r="F19">
        <v>262.5</v>
      </c>
      <c r="G19">
        <v>350</v>
      </c>
      <c r="H19" t="s">
        <v>14</v>
      </c>
      <c r="I19" t="s">
        <v>34</v>
      </c>
      <c r="J19" t="s">
        <v>54</v>
      </c>
      <c r="K19" t="s">
        <v>74</v>
      </c>
      <c r="L19" t="s">
        <v>94</v>
      </c>
      <c r="M19" t="s">
        <v>114</v>
      </c>
    </row>
    <row r="20" spans="1:13">
      <c r="A20">
        <v>1</v>
      </c>
      <c r="B20" t="s">
        <v>191</v>
      </c>
      <c r="C20" t="s">
        <v>132</v>
      </c>
      <c r="D20">
        <v>30</v>
      </c>
      <c r="E20">
        <v>15</v>
      </c>
      <c r="F20">
        <v>87.5</v>
      </c>
      <c r="G20">
        <v>140</v>
      </c>
      <c r="H20" t="s">
        <v>15</v>
      </c>
      <c r="I20" t="s">
        <v>35</v>
      </c>
      <c r="J20" t="s">
        <v>55</v>
      </c>
      <c r="K20" t="s">
        <v>75</v>
      </c>
      <c r="L20" t="s">
        <v>95</v>
      </c>
      <c r="M20" t="s">
        <v>115</v>
      </c>
    </row>
    <row r="21" spans="1:13">
      <c r="A21">
        <v>2</v>
      </c>
      <c r="B21" t="s">
        <v>191</v>
      </c>
      <c r="C21" t="s">
        <v>132</v>
      </c>
      <c r="D21">
        <v>30</v>
      </c>
      <c r="E21">
        <v>15</v>
      </c>
      <c r="F21">
        <v>175</v>
      </c>
      <c r="G21">
        <v>280</v>
      </c>
      <c r="H21" t="s">
        <v>16</v>
      </c>
      <c r="I21" t="s">
        <v>36</v>
      </c>
      <c r="J21" t="s">
        <v>56</v>
      </c>
      <c r="K21" t="s">
        <v>76</v>
      </c>
      <c r="L21" t="s">
        <v>96</v>
      </c>
      <c r="M21" t="s">
        <v>116</v>
      </c>
    </row>
    <row r="22" spans="1:13">
      <c r="A22">
        <v>3</v>
      </c>
      <c r="B22" t="s">
        <v>191</v>
      </c>
      <c r="C22" t="s">
        <v>132</v>
      </c>
      <c r="D22">
        <v>30</v>
      </c>
      <c r="E22">
        <v>15</v>
      </c>
      <c r="F22">
        <v>262.5</v>
      </c>
      <c r="G22">
        <v>420</v>
      </c>
      <c r="H22" t="s">
        <v>17</v>
      </c>
      <c r="I22" t="s">
        <v>37</v>
      </c>
      <c r="J22" t="s">
        <v>57</v>
      </c>
      <c r="K22" t="s">
        <v>77</v>
      </c>
      <c r="L22" t="s">
        <v>97</v>
      </c>
      <c r="M22" t="s">
        <v>117</v>
      </c>
    </row>
    <row r="23" spans="1:13">
      <c r="A23">
        <v>4</v>
      </c>
      <c r="B23" t="s">
        <v>191</v>
      </c>
      <c r="C23" t="s">
        <v>132</v>
      </c>
      <c r="D23">
        <v>30</v>
      </c>
      <c r="E23">
        <v>15</v>
      </c>
      <c r="F23">
        <v>350</v>
      </c>
      <c r="G23">
        <v>560</v>
      </c>
      <c r="H23" t="s">
        <v>18</v>
      </c>
      <c r="I23" t="s">
        <v>38</v>
      </c>
      <c r="J23" t="s">
        <v>58</v>
      </c>
      <c r="K23" t="s">
        <v>78</v>
      </c>
      <c r="L23" t="s">
        <v>98</v>
      </c>
      <c r="M23" t="s">
        <v>118</v>
      </c>
    </row>
    <row r="24" spans="1:13">
      <c r="A24">
        <v>5</v>
      </c>
      <c r="B24" t="s">
        <v>191</v>
      </c>
      <c r="C24" t="s">
        <v>132</v>
      </c>
      <c r="D24">
        <v>30</v>
      </c>
      <c r="E24">
        <v>15</v>
      </c>
      <c r="F24">
        <v>437.5</v>
      </c>
      <c r="G24">
        <v>700</v>
      </c>
      <c r="H24" t="s">
        <v>19</v>
      </c>
      <c r="I24" t="s">
        <v>39</v>
      </c>
      <c r="J24" t="s">
        <v>59</v>
      </c>
      <c r="K24" t="s">
        <v>79</v>
      </c>
      <c r="L24" t="s">
        <v>99</v>
      </c>
      <c r="M24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topLeftCell="A6" workbookViewId="0">
      <selection activeCell="B15" sqref="B15:B26"/>
    </sheetView>
  </sheetViews>
  <sheetFormatPr baseColWidth="10" defaultRowHeight="15"/>
  <sheetData>
    <row r="1" spans="1:6">
      <c r="A1" t="s">
        <v>195</v>
      </c>
      <c r="B1" t="s">
        <v>196</v>
      </c>
    </row>
    <row r="2" spans="1:6">
      <c r="A2" t="s">
        <v>197</v>
      </c>
      <c r="B2" t="s">
        <v>198</v>
      </c>
    </row>
    <row r="3" spans="1:6">
      <c r="A3" t="s">
        <v>199</v>
      </c>
      <c r="B3" t="s">
        <v>200</v>
      </c>
    </row>
    <row r="4" spans="1:6">
      <c r="A4" t="s">
        <v>201</v>
      </c>
      <c r="B4" t="s">
        <v>202</v>
      </c>
    </row>
    <row r="5" spans="1:6">
      <c r="A5" t="s">
        <v>203</v>
      </c>
      <c r="B5" t="s">
        <v>204</v>
      </c>
    </row>
    <row r="6" spans="1:6">
      <c r="A6" t="s">
        <v>205</v>
      </c>
      <c r="B6" t="s">
        <v>206</v>
      </c>
    </row>
    <row r="7" spans="1:6">
      <c r="A7" t="s">
        <v>207</v>
      </c>
      <c r="B7" t="s">
        <v>208</v>
      </c>
    </row>
    <row r="8" spans="1:6">
      <c r="A8" t="s">
        <v>209</v>
      </c>
      <c r="B8" t="s">
        <v>210</v>
      </c>
    </row>
    <row r="9" spans="1:6">
      <c r="A9" t="s">
        <v>211</v>
      </c>
      <c r="B9" t="s">
        <v>212</v>
      </c>
    </row>
    <row r="10" spans="1:6">
      <c r="A10" t="s">
        <v>213</v>
      </c>
      <c r="B10" t="s">
        <v>214</v>
      </c>
    </row>
    <row r="11" spans="1:6">
      <c r="A11" t="s">
        <v>215</v>
      </c>
      <c r="B11" t="s">
        <v>216</v>
      </c>
    </row>
    <row r="12" spans="1:6">
      <c r="A12" t="s">
        <v>217</v>
      </c>
      <c r="B12" t="s">
        <v>218</v>
      </c>
    </row>
    <row r="15" spans="1:6">
      <c r="A15" t="s">
        <v>228</v>
      </c>
      <c r="B15" t="s">
        <v>229</v>
      </c>
      <c r="F15" t="s">
        <v>253</v>
      </c>
    </row>
    <row r="16" spans="1:6">
      <c r="A16" t="s">
        <v>230</v>
      </c>
      <c r="B16" t="s">
        <v>231</v>
      </c>
      <c r="F16" t="s">
        <v>254</v>
      </c>
    </row>
    <row r="17" spans="1:6">
      <c r="A17" t="s">
        <v>232</v>
      </c>
      <c r="B17" t="s">
        <v>233</v>
      </c>
      <c r="F17" t="s">
        <v>255</v>
      </c>
    </row>
    <row r="18" spans="1:6">
      <c r="A18" t="s">
        <v>234</v>
      </c>
      <c r="B18" t="s">
        <v>235</v>
      </c>
      <c r="F18" t="s">
        <v>256</v>
      </c>
    </row>
    <row r="19" spans="1:6">
      <c r="A19" t="s">
        <v>236</v>
      </c>
      <c r="B19" t="s">
        <v>237</v>
      </c>
      <c r="F19" t="s">
        <v>257</v>
      </c>
    </row>
    <row r="20" spans="1:6">
      <c r="A20" t="s">
        <v>238</v>
      </c>
      <c r="B20" t="s">
        <v>239</v>
      </c>
      <c r="F20" t="s">
        <v>258</v>
      </c>
    </row>
    <row r="21" spans="1:6">
      <c r="A21" t="s">
        <v>240</v>
      </c>
      <c r="B21" t="s">
        <v>241</v>
      </c>
      <c r="F21" t="s">
        <v>259</v>
      </c>
    </row>
    <row r="22" spans="1:6">
      <c r="A22" t="s">
        <v>242</v>
      </c>
      <c r="B22" t="s">
        <v>243</v>
      </c>
      <c r="F22" t="s">
        <v>260</v>
      </c>
    </row>
    <row r="23" spans="1:6">
      <c r="A23" t="s">
        <v>244</v>
      </c>
      <c r="B23" t="s">
        <v>245</v>
      </c>
      <c r="F23" t="s">
        <v>261</v>
      </c>
    </row>
    <row r="24" spans="1:6">
      <c r="A24" t="s">
        <v>246</v>
      </c>
      <c r="B24" t="s">
        <v>247</v>
      </c>
      <c r="F24" t="s">
        <v>262</v>
      </c>
    </row>
    <row r="25" spans="1:6">
      <c r="A25" t="s">
        <v>248</v>
      </c>
      <c r="B25" t="s">
        <v>249</v>
      </c>
      <c r="F25" t="s">
        <v>263</v>
      </c>
    </row>
    <row r="26" spans="1:6">
      <c r="A26" t="s">
        <v>250</v>
      </c>
      <c r="B26" t="s">
        <v>251</v>
      </c>
      <c r="F2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Pinotnoir</vt:lpstr>
      <vt:lpstr>Cardinal</vt:lpstr>
      <vt:lpstr>CS</vt:lpstr>
      <vt:lpstr>Pinot Noir</vt:lpstr>
      <vt:lpstr>Feuil2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2015-05-13T18:04:27Z</dcterms:modified>
</cp:coreProperties>
</file>