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8" yWindow="324" windowWidth="21828" windowHeight="10068" activeTab="2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AE197" i="2" l="1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</calcChain>
</file>

<file path=xl/sharedStrings.xml><?xml version="1.0" encoding="utf-8"?>
<sst xmlns="http://schemas.openxmlformats.org/spreadsheetml/2006/main" count="1841" uniqueCount="84">
  <si>
    <t xml:space="preserve">Poids </t>
  </si>
  <si>
    <t xml:space="preserve">Nb </t>
  </si>
  <si>
    <t>pH</t>
  </si>
  <si>
    <t xml:space="preserve">AT </t>
  </si>
  <si>
    <t>AT</t>
  </si>
  <si>
    <t>IR</t>
  </si>
  <si>
    <t>Sucres</t>
  </si>
  <si>
    <t>Degre</t>
  </si>
  <si>
    <t>Tartriq.</t>
  </si>
  <si>
    <t>AT+K+</t>
  </si>
  <si>
    <t>Mal+Tar</t>
  </si>
  <si>
    <t>Mal+Tar-</t>
  </si>
  <si>
    <t>Indice</t>
  </si>
  <si>
    <t>baies</t>
  </si>
  <si>
    <t>100 baies</t>
  </si>
  <si>
    <t>(H2SO4)</t>
  </si>
  <si>
    <t>meq/l</t>
  </si>
  <si>
    <t>corrigé</t>
  </si>
  <si>
    <t>apres IR</t>
  </si>
  <si>
    <t>probable</t>
  </si>
  <si>
    <t>color.</t>
  </si>
  <si>
    <t>Malique</t>
  </si>
  <si>
    <t>calc.</t>
  </si>
  <si>
    <t>K</t>
  </si>
  <si>
    <t>dose</t>
  </si>
  <si>
    <t>Mg</t>
  </si>
  <si>
    <t>Ca</t>
  </si>
  <si>
    <t>Ca+Mg</t>
  </si>
  <si>
    <t>(AT+K+Ca+Mg)</t>
  </si>
  <si>
    <t>tartre</t>
  </si>
  <si>
    <t>g</t>
  </si>
  <si>
    <t>g/l</t>
  </si>
  <si>
    <t>mg/l</t>
  </si>
  <si>
    <t>C/A</t>
  </si>
  <si>
    <t>IT</t>
  </si>
  <si>
    <t>CHS I 7</t>
  </si>
  <si>
    <t xml:space="preserve">D + MO </t>
  </si>
  <si>
    <t>Riparia</t>
  </si>
  <si>
    <t>Fercal</t>
  </si>
  <si>
    <t>C + MO</t>
  </si>
  <si>
    <t>CHS I 12</t>
  </si>
  <si>
    <t>Témoin</t>
  </si>
  <si>
    <t>K 180</t>
  </si>
  <si>
    <t>LAB</t>
  </si>
  <si>
    <t xml:space="preserve">K 0    </t>
  </si>
  <si>
    <t>I</t>
  </si>
  <si>
    <t>II</t>
  </si>
  <si>
    <t>III</t>
  </si>
  <si>
    <t>K  60</t>
  </si>
  <si>
    <t>K 120</t>
  </si>
  <si>
    <t>CHS I 8</t>
  </si>
  <si>
    <t>101-14</t>
  </si>
  <si>
    <t>3309broy.</t>
  </si>
  <si>
    <t>NBGF</t>
  </si>
  <si>
    <t>Moy.</t>
  </si>
  <si>
    <t>Rip broy.</t>
  </si>
  <si>
    <t>SB</t>
  </si>
  <si>
    <t>Fer broy.</t>
  </si>
  <si>
    <t>NBGF MN</t>
  </si>
  <si>
    <t>date</t>
  </si>
  <si>
    <t>jours</t>
  </si>
  <si>
    <t>197</t>
  </si>
  <si>
    <t>204</t>
  </si>
  <si>
    <t>211</t>
  </si>
  <si>
    <t>218</t>
  </si>
  <si>
    <t>225</t>
  </si>
  <si>
    <t>232</t>
  </si>
  <si>
    <t>239</t>
  </si>
  <si>
    <t>246</t>
  </si>
  <si>
    <t>253</t>
  </si>
  <si>
    <t>260</t>
  </si>
  <si>
    <t>267</t>
  </si>
  <si>
    <t>274</t>
  </si>
  <si>
    <t>281</t>
  </si>
  <si>
    <t>parcelle</t>
  </si>
  <si>
    <t>T</t>
  </si>
  <si>
    <t xml:space="preserve">Écartype K 0    </t>
  </si>
  <si>
    <t>Écartype K  60</t>
  </si>
  <si>
    <t>Écartype K 120</t>
  </si>
  <si>
    <t xml:space="preserve">Moyenne K 0    </t>
  </si>
  <si>
    <t>Moyenne K  60</t>
  </si>
  <si>
    <t>Moyenne K 120</t>
  </si>
  <si>
    <t>Écartype K 60</t>
  </si>
  <si>
    <t>Moyenne K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</si>
</sst>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dd/mm/yy"/>
  </numFmts>
  <fonts count="4" x14ac:knownFonts="1">
    <font>
      <sz val="11"/>
      <color theme="1"/>
      <name val="Calibri"/>
      <family val="2"/>
      <scheme val="minor"/>
    </font>
    <font>
      <sz val="8"/>
      <name val="Modern"/>
      <family val="3"/>
      <charset val="255"/>
    </font>
    <font>
      <sz val="6"/>
      <name val="Tms Rmn"/>
    </font>
    <font>
      <b/>
      <sz val="6"/>
      <name val="Tms Rmn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1" fillId="0" borderId="0" xfId="1"/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164" fontId="2" fillId="0" borderId="1" xfId="1" applyNumberFormat="1" applyFont="1" applyBorder="1"/>
    <xf numFmtId="4" fontId="2" fillId="0" borderId="1" xfId="1" applyNumberFormat="1" applyFont="1" applyBorder="1"/>
    <xf numFmtId="0" fontId="2" fillId="0" borderId="0" xfId="1" applyFont="1"/>
    <xf numFmtId="0" fontId="2" fillId="0" borderId="0" xfId="1" applyFont="1" applyAlignment="1">
      <alignment horizontal="center"/>
    </xf>
    <xf numFmtId="2" fontId="2" fillId="0" borderId="2" xfId="1" applyNumberFormat="1" applyFont="1" applyBorder="1" applyAlignment="1">
      <alignment horizontal="center"/>
    </xf>
    <xf numFmtId="2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4" fontId="2" fillId="0" borderId="0" xfId="1" applyNumberFormat="1" applyFont="1" applyAlignment="1">
      <alignment horizontal="center"/>
    </xf>
    <xf numFmtId="2" fontId="2" fillId="0" borderId="1" xfId="1" applyNumberFormat="1" applyFont="1" applyBorder="1"/>
    <xf numFmtId="2" fontId="2" fillId="0" borderId="3" xfId="1" applyNumberFormat="1" applyFont="1" applyBorder="1" applyAlignment="1">
      <alignment horizontal="right"/>
    </xf>
    <xf numFmtId="2" fontId="2" fillId="0" borderId="3" xfId="1" applyNumberFormat="1" applyFont="1" applyBorder="1"/>
    <xf numFmtId="165" fontId="2" fillId="0" borderId="1" xfId="1" applyNumberFormat="1" applyFont="1" applyBorder="1"/>
    <xf numFmtId="2" fontId="2" fillId="0" borderId="2" xfId="1" applyNumberFormat="1" applyFont="1" applyBorder="1" applyAlignment="1">
      <alignment horizontal="right"/>
    </xf>
    <xf numFmtId="2" fontId="2" fillId="0" borderId="0" xfId="1" applyNumberFormat="1" applyFont="1"/>
    <xf numFmtId="2" fontId="2" fillId="0" borderId="2" xfId="1" applyNumberFormat="1" applyFont="1" applyBorder="1"/>
    <xf numFmtId="164" fontId="2" fillId="0" borderId="0" xfId="1" applyNumberFormat="1" applyFont="1"/>
    <xf numFmtId="165" fontId="2" fillId="0" borderId="0" xfId="1" applyNumberFormat="1" applyFont="1"/>
    <xf numFmtId="4" fontId="2" fillId="0" borderId="0" xfId="1" applyNumberFormat="1" applyFont="1"/>
    <xf numFmtId="0" fontId="2" fillId="0" borderId="4" xfId="1" applyFont="1" applyBorder="1" applyAlignment="1">
      <alignment horizontal="center"/>
    </xf>
    <xf numFmtId="0" fontId="2" fillId="0" borderId="4" xfId="1" applyFont="1" applyBorder="1"/>
    <xf numFmtId="2" fontId="2" fillId="0" borderId="5" xfId="1" applyNumberFormat="1" applyFont="1" applyBorder="1" applyAlignment="1">
      <alignment horizontal="right"/>
    </xf>
    <xf numFmtId="2" fontId="2" fillId="0" borderId="4" xfId="1" applyNumberFormat="1" applyFont="1" applyBorder="1"/>
    <xf numFmtId="2" fontId="2" fillId="0" borderId="5" xfId="1" applyNumberFormat="1" applyFont="1" applyBorder="1"/>
    <xf numFmtId="164" fontId="2" fillId="0" borderId="4" xfId="1" applyNumberFormat="1" applyFont="1" applyBorder="1"/>
    <xf numFmtId="165" fontId="2" fillId="0" borderId="4" xfId="1" applyNumberFormat="1" applyFont="1" applyBorder="1"/>
    <xf numFmtId="4" fontId="2" fillId="0" borderId="4" xfId="1" applyNumberFormat="1" applyFont="1" applyBorder="1"/>
    <xf numFmtId="0" fontId="2" fillId="0" borderId="0" xfId="1" applyFont="1" applyBorder="1"/>
    <xf numFmtId="0" fontId="2" fillId="0" borderId="6" xfId="1" applyFont="1" applyBorder="1" applyAlignment="1">
      <alignment horizontal="center"/>
    </xf>
    <xf numFmtId="0" fontId="2" fillId="0" borderId="6" xfId="1" applyFont="1" applyBorder="1"/>
    <xf numFmtId="2" fontId="2" fillId="0" borderId="7" xfId="1" applyNumberFormat="1" applyFont="1" applyBorder="1" applyAlignment="1">
      <alignment horizontal="center"/>
    </xf>
    <xf numFmtId="2" fontId="2" fillId="0" borderId="6" xfId="1" applyNumberFormat="1" applyFont="1" applyBorder="1" applyAlignment="1">
      <alignment horizontal="center"/>
    </xf>
    <xf numFmtId="164" fontId="2" fillId="0" borderId="6" xfId="1" applyNumberFormat="1" applyFont="1" applyBorder="1" applyAlignment="1">
      <alignment horizontal="center"/>
    </xf>
    <xf numFmtId="165" fontId="2" fillId="0" borderId="6" xfId="1" applyNumberFormat="1" applyFont="1" applyBorder="1" applyAlignment="1">
      <alignment horizontal="center"/>
    </xf>
    <xf numFmtId="4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 applyAlignment="1">
      <alignment horizontal="right"/>
    </xf>
    <xf numFmtId="2" fontId="2" fillId="0" borderId="6" xfId="1" applyNumberFormat="1" applyFont="1" applyBorder="1"/>
    <xf numFmtId="2" fontId="2" fillId="0" borderId="7" xfId="1" applyNumberFormat="1" applyFont="1" applyBorder="1"/>
    <xf numFmtId="164" fontId="2" fillId="0" borderId="6" xfId="1" applyNumberFormat="1" applyFont="1" applyBorder="1"/>
    <xf numFmtId="165" fontId="2" fillId="0" borderId="6" xfId="1" applyNumberFormat="1" applyFont="1" applyBorder="1"/>
    <xf numFmtId="4" fontId="2" fillId="0" borderId="6" xfId="1" applyNumberFormat="1" applyFont="1" applyBorder="1"/>
    <xf numFmtId="166" fontId="2" fillId="0" borderId="8" xfId="1" applyNumberFormat="1" applyFont="1" applyBorder="1"/>
    <xf numFmtId="166" fontId="2" fillId="0" borderId="9" xfId="1" applyNumberFormat="1" applyFont="1" applyBorder="1" applyAlignment="1">
      <alignment horizontal="center"/>
    </xf>
    <xf numFmtId="166" fontId="2" fillId="0" borderId="10" xfId="1" applyNumberFormat="1" applyFont="1" applyBorder="1" applyAlignment="1">
      <alignment horizontal="center"/>
    </xf>
    <xf numFmtId="166" fontId="2" fillId="0" borderId="8" xfId="1" applyNumberFormat="1" applyFont="1" applyBorder="1" applyAlignment="1">
      <alignment horizontal="center"/>
    </xf>
    <xf numFmtId="0" fontId="2" fillId="0" borderId="11" xfId="1" applyFont="1" applyBorder="1"/>
    <xf numFmtId="0" fontId="2" fillId="0" borderId="12" xfId="1" applyFont="1" applyBorder="1"/>
    <xf numFmtId="0" fontId="2" fillId="0" borderId="13" xfId="1" applyFont="1" applyBorder="1"/>
    <xf numFmtId="0" fontId="2" fillId="0" borderId="14" xfId="1" applyFont="1" applyBorder="1"/>
    <xf numFmtId="2" fontId="2" fillId="0" borderId="12" xfId="1" applyNumberFormat="1" applyFont="1" applyBorder="1" applyAlignment="1">
      <alignment horizontal="center"/>
    </xf>
    <xf numFmtId="2" fontId="2" fillId="0" borderId="13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4" xfId="1" applyNumberFormat="1" applyFont="1" applyBorder="1"/>
    <xf numFmtId="2" fontId="2" fillId="0" borderId="13" xfId="1" applyNumberFormat="1" applyFont="1" applyBorder="1"/>
    <xf numFmtId="164" fontId="2" fillId="0" borderId="12" xfId="1" applyNumberFormat="1" applyFont="1" applyBorder="1" applyAlignment="1">
      <alignment horizontal="center"/>
    </xf>
    <xf numFmtId="164" fontId="2" fillId="0" borderId="13" xfId="1" applyNumberFormat="1" applyFont="1" applyBorder="1" applyAlignment="1">
      <alignment horizontal="center"/>
    </xf>
    <xf numFmtId="164" fontId="2" fillId="0" borderId="11" xfId="1" applyNumberFormat="1" applyFont="1" applyBorder="1"/>
    <xf numFmtId="164" fontId="2" fillId="0" borderId="12" xfId="1" applyNumberFormat="1" applyFont="1" applyBorder="1"/>
    <xf numFmtId="164" fontId="2" fillId="0" borderId="14" xfId="1" applyNumberFormat="1" applyFont="1" applyBorder="1"/>
    <xf numFmtId="164" fontId="2" fillId="0" borderId="13" xfId="1" applyNumberFormat="1" applyFont="1" applyBorder="1"/>
    <xf numFmtId="166" fontId="2" fillId="0" borderId="15" xfId="1" applyNumberFormat="1" applyFont="1" applyBorder="1"/>
    <xf numFmtId="0" fontId="2" fillId="0" borderId="16" xfId="1" applyFont="1" applyBorder="1"/>
    <xf numFmtId="0" fontId="2" fillId="0" borderId="16" xfId="1" applyFont="1" applyBorder="1" applyAlignment="1">
      <alignment horizontal="center"/>
    </xf>
    <xf numFmtId="0" fontId="2" fillId="0" borderId="17" xfId="1" applyFont="1" applyBorder="1"/>
    <xf numFmtId="2" fontId="2" fillId="0" borderId="18" xfId="1" applyNumberFormat="1" applyFont="1" applyBorder="1" applyAlignment="1">
      <alignment horizontal="center"/>
    </xf>
    <xf numFmtId="2" fontId="2" fillId="0" borderId="17" xfId="1" applyNumberFormat="1" applyFont="1" applyBorder="1" applyAlignment="1">
      <alignment horizontal="center"/>
    </xf>
    <xf numFmtId="2" fontId="2" fillId="0" borderId="16" xfId="1" applyNumberFormat="1" applyFont="1" applyBorder="1" applyAlignment="1">
      <alignment horizontal="center"/>
    </xf>
    <xf numFmtId="164" fontId="2" fillId="0" borderId="16" xfId="1" applyNumberFormat="1" applyFont="1" applyBorder="1" applyAlignment="1">
      <alignment horizontal="center"/>
    </xf>
    <xf numFmtId="164" fontId="2" fillId="0" borderId="17" xfId="1" applyNumberFormat="1" applyFont="1" applyBorder="1" applyAlignment="1">
      <alignment horizontal="center"/>
    </xf>
    <xf numFmtId="165" fontId="2" fillId="0" borderId="16" xfId="1" applyNumberFormat="1" applyFont="1" applyBorder="1" applyAlignment="1">
      <alignment horizontal="center"/>
    </xf>
    <xf numFmtId="164" fontId="2" fillId="0" borderId="16" xfId="1" applyNumberFormat="1" applyFont="1" applyBorder="1"/>
    <xf numFmtId="4" fontId="2" fillId="0" borderId="16" xfId="1" applyNumberFormat="1" applyFont="1" applyBorder="1"/>
    <xf numFmtId="166" fontId="2" fillId="0" borderId="16" xfId="1" applyNumberFormat="1" applyFont="1" applyBorder="1"/>
    <xf numFmtId="166" fontId="2" fillId="0" borderId="0" xfId="1" applyNumberFormat="1" applyFont="1" applyBorder="1"/>
    <xf numFmtId="166" fontId="2" fillId="0" borderId="6" xfId="1" applyNumberFormat="1" applyFont="1" applyBorder="1" applyAlignment="1">
      <alignment horizontal="center"/>
    </xf>
    <xf numFmtId="166" fontId="2" fillId="0" borderId="0" xfId="1" applyNumberFormat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166" fontId="2" fillId="0" borderId="19" xfId="1" applyNumberFormat="1" applyFont="1" applyBorder="1" applyAlignment="1">
      <alignment horizontal="center"/>
    </xf>
    <xf numFmtId="0" fontId="1" fillId="0" borderId="1" xfId="1" applyBorder="1"/>
    <xf numFmtId="0" fontId="1" fillId="0" borderId="4" xfId="1" applyBorder="1"/>
    <xf numFmtId="2" fontId="2" fillId="0" borderId="0" xfId="1" applyNumberFormat="1" applyFont="1" applyBorder="1"/>
    <xf numFmtId="164" fontId="2" fillId="0" borderId="0" xfId="1" applyNumberFormat="1" applyFont="1" applyBorder="1"/>
    <xf numFmtId="165" fontId="2" fillId="0" borderId="0" xfId="1" applyNumberFormat="1" applyFont="1" applyBorder="1"/>
    <xf numFmtId="4" fontId="2" fillId="0" borderId="0" xfId="1" applyNumberFormat="1" applyFont="1" applyBorder="1"/>
    <xf numFmtId="0" fontId="3" fillId="0" borderId="0" xfId="1" applyFont="1" applyAlignment="1">
      <alignment horizontal="center"/>
    </xf>
    <xf numFmtId="0" fontId="2" fillId="0" borderId="2" xfId="1" applyNumberFormat="1" applyFont="1" applyBorder="1" applyAlignment="1">
      <alignment horizontal="right"/>
    </xf>
    <xf numFmtId="0" fontId="2" fillId="0" borderId="12" xfId="1" applyNumberFormat="1" applyFont="1" applyBorder="1"/>
    <xf numFmtId="0" fontId="2" fillId="0" borderId="2" xfId="1" applyNumberFormat="1" applyFont="1" applyBorder="1"/>
    <xf numFmtId="0" fontId="2" fillId="0" borderId="0" xfId="1" applyNumberFormat="1" applyFont="1" applyBorder="1"/>
    <xf numFmtId="0" fontId="2" fillId="0" borderId="0" xfId="1" applyNumberFormat="1" applyFont="1"/>
    <xf numFmtId="0" fontId="3" fillId="0" borderId="0" xfId="1" applyFont="1" applyBorder="1" applyAlignment="1">
      <alignment horizontal="center"/>
    </xf>
    <xf numFmtId="2" fontId="2" fillId="0" borderId="0" xfId="1" applyNumberFormat="1" applyFont="1" applyBorder="1" applyAlignment="1">
      <alignment horizontal="right"/>
    </xf>
    <xf numFmtId="0" fontId="2" fillId="0" borderId="0" xfId="1" applyNumberFormat="1" applyFont="1" applyBorder="1" applyAlignment="1">
      <alignment horizontal="right"/>
    </xf>
    <xf numFmtId="166" fontId="3" fillId="0" borderId="0" xfId="1" applyNumberFormat="1" applyFont="1" applyAlignment="1">
      <alignment horizontal="center"/>
    </xf>
    <xf numFmtId="2" fontId="0" fillId="0" borderId="0" xfId="0" applyNumberFormat="1"/>
    <xf numFmtId="0" fontId="0" fillId="2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K meq/L</a:t>
            </a:r>
          </a:p>
        </c:rich>
      </c:tx>
      <c:layout>
        <c:manualLayout>
          <c:xMode val="edge"/>
          <c:yMode val="edge"/>
          <c:x val="0.14357633420822397"/>
          <c:y val="0.11733716475095786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708573928258967"/>
          <c:y val="0.10076043835037862"/>
          <c:w val="0.86587182852143485"/>
          <c:h val="0.83924996983135725"/>
        </c:manualLayout>
      </c:layout>
      <c:lineChart>
        <c:grouping val="standard"/>
        <c:varyColors val="0"/>
        <c:ser>
          <c:idx val="0"/>
          <c:order val="0"/>
          <c:tx>
            <c:strRef>
              <c:f>Feuil3!$B$4</c:f>
              <c:strCache>
                <c:ptCount val="1"/>
                <c:pt idx="0">
                  <c:v>Moyenne K 0    </c:v>
                </c:pt>
              </c:strCache>
            </c:strRef>
          </c:tx>
          <c:cat>
            <c:strRef>
              <c:f>Feuil3!$A$4:$A$16</c:f>
              <c:strCache>
                <c:ptCount val="13"/>
                <c:pt idx="0">
                  <c:v>197</c:v>
                </c:pt>
                <c:pt idx="1">
                  <c:v>204</c:v>
                </c:pt>
                <c:pt idx="2">
                  <c:v>211</c:v>
                </c:pt>
                <c:pt idx="3">
                  <c:v>218</c:v>
                </c:pt>
                <c:pt idx="4">
                  <c:v>225</c:v>
                </c:pt>
                <c:pt idx="5">
                  <c:v>232</c:v>
                </c:pt>
                <c:pt idx="6">
                  <c:v>239</c:v>
                </c:pt>
                <c:pt idx="7">
                  <c:v>246</c:v>
                </c:pt>
                <c:pt idx="8">
                  <c:v>253</c:v>
                </c:pt>
                <c:pt idx="9">
                  <c:v>260</c:v>
                </c:pt>
                <c:pt idx="10">
                  <c:v>267</c:v>
                </c:pt>
                <c:pt idx="11">
                  <c:v>274</c:v>
                </c:pt>
                <c:pt idx="12">
                  <c:v>281</c:v>
                </c:pt>
              </c:strCache>
            </c:strRef>
          </c:cat>
          <c:val>
            <c:numRef>
              <c:f>Feuil3!$O$4:$O$16</c:f>
              <c:numCache>
                <c:formatCode>0.00</c:formatCode>
                <c:ptCount val="13"/>
                <c:pt idx="0">
                  <c:v>15.675703324808183</c:v>
                </c:pt>
                <c:pt idx="1">
                  <c:v>16.693606138107416</c:v>
                </c:pt>
                <c:pt idx="2">
                  <c:v>17.915089514066494</c:v>
                </c:pt>
                <c:pt idx="3">
                  <c:v>21.036658141517474</c:v>
                </c:pt>
                <c:pt idx="4">
                  <c:v>23.886786018755327</c:v>
                </c:pt>
                <c:pt idx="5">
                  <c:v>23.343904518329069</c:v>
                </c:pt>
                <c:pt idx="6">
                  <c:v>24.97254901960784</c:v>
                </c:pt>
                <c:pt idx="7">
                  <c:v>25.786871270247229</c:v>
                </c:pt>
                <c:pt idx="8">
                  <c:v>27.144075021312872</c:v>
                </c:pt>
                <c:pt idx="9">
                  <c:v>29.112020460358057</c:v>
                </c:pt>
                <c:pt idx="10">
                  <c:v>29.994202898550725</c:v>
                </c:pt>
                <c:pt idx="11">
                  <c:v>30.740664961636828</c:v>
                </c:pt>
                <c:pt idx="12">
                  <c:v>31.419266837169648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Feuil3!$B$17</c:f>
              <c:strCache>
                <c:ptCount val="1"/>
                <c:pt idx="0">
                  <c:v>Moyenne K 60</c:v>
                </c:pt>
              </c:strCache>
            </c:strRef>
          </c:tx>
          <c:val>
            <c:numRef>
              <c:f>Feuil3!$O$17:$O$29</c:f>
              <c:numCache>
                <c:formatCode>0.00</c:formatCode>
                <c:ptCount val="13"/>
                <c:pt idx="0">
                  <c:v>23.479624893435631</c:v>
                </c:pt>
                <c:pt idx="1">
                  <c:v>25.108269394714409</c:v>
                </c:pt>
                <c:pt idx="2">
                  <c:v>28.161977834612106</c:v>
                </c:pt>
                <c:pt idx="3">
                  <c:v>34.676555839727193</c:v>
                </c:pt>
                <c:pt idx="4">
                  <c:v>38.341005967604438</c:v>
                </c:pt>
                <c:pt idx="5">
                  <c:v>37.39096334185848</c:v>
                </c:pt>
                <c:pt idx="6">
                  <c:v>40.308951406649612</c:v>
                </c:pt>
                <c:pt idx="7">
                  <c:v>40.444671781756178</c:v>
                </c:pt>
                <c:pt idx="8">
                  <c:v>42.548337595907924</c:v>
                </c:pt>
                <c:pt idx="9">
                  <c:v>44.855583972719522</c:v>
                </c:pt>
                <c:pt idx="10">
                  <c:v>47.162830349531113</c:v>
                </c:pt>
                <c:pt idx="11">
                  <c:v>47.027109974424548</c:v>
                </c:pt>
                <c:pt idx="12">
                  <c:v>47.705711849957368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Feuil3!$B$30</c:f>
              <c:strCache>
                <c:ptCount val="1"/>
                <c:pt idx="0">
                  <c:v>Moyenne K 120</c:v>
                </c:pt>
              </c:strCache>
            </c:strRef>
          </c:tx>
          <c:val>
            <c:numRef>
              <c:f>Feuil3!$O$30:$O$42</c:f>
              <c:numCache>
                <c:formatCode>0.00</c:formatCode>
                <c:ptCount val="13"/>
                <c:pt idx="0">
                  <c:v>25.786871270247229</c:v>
                </c:pt>
                <c:pt idx="1">
                  <c:v>28.704859335038364</c:v>
                </c:pt>
                <c:pt idx="2">
                  <c:v>32.912190963341857</c:v>
                </c:pt>
                <c:pt idx="3">
                  <c:v>39.494629156010227</c:v>
                </c:pt>
                <c:pt idx="4">
                  <c:v>43.091219096334186</c:v>
                </c:pt>
                <c:pt idx="5">
                  <c:v>42.95549872122762</c:v>
                </c:pt>
                <c:pt idx="6">
                  <c:v>46.619948849104865</c:v>
                </c:pt>
                <c:pt idx="7">
                  <c:v>47.094970161977834</c:v>
                </c:pt>
                <c:pt idx="8">
                  <c:v>48.655754475703326</c:v>
                </c:pt>
                <c:pt idx="9">
                  <c:v>51.709462915601023</c:v>
                </c:pt>
                <c:pt idx="10">
                  <c:v>52.455924978687129</c:v>
                </c:pt>
                <c:pt idx="11">
                  <c:v>54.627450980392155</c:v>
                </c:pt>
                <c:pt idx="12">
                  <c:v>54.356010230179017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093632"/>
        <c:axId val="259095168"/>
      </c:lineChart>
      <c:catAx>
        <c:axId val="259093632"/>
        <c:scaling>
          <c:orientation val="minMax"/>
        </c:scaling>
        <c:delete val="0"/>
        <c:axPos val="b"/>
        <c:majorTickMark val="out"/>
        <c:minorTickMark val="none"/>
        <c:tickLblPos val="nextTo"/>
        <c:crossAx val="259095168"/>
        <c:crosses val="autoZero"/>
        <c:auto val="1"/>
        <c:lblAlgn val="ctr"/>
        <c:lblOffset val="100"/>
        <c:noMultiLvlLbl val="0"/>
      </c:catAx>
      <c:valAx>
        <c:axId val="2590951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5909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4068678915135642E-2"/>
          <c:y val="6.3108778069408192E-3"/>
          <c:w val="0.91593132108486441"/>
          <c:h val="6.046154252270190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777240</xdr:colOff>
      <xdr:row>1</xdr:row>
      <xdr:rowOff>22860</xdr:rowOff>
    </xdr:from>
    <xdr:to>
      <xdr:col>33</xdr:col>
      <xdr:colOff>594360</xdr:colOff>
      <xdr:row>30</xdr:row>
      <xdr:rowOff>22860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1"/>
  <sheetViews>
    <sheetView workbookViewId="0">
      <selection activeCell="A120" sqref="A1:AE120"/>
    </sheetView>
  </sheetViews>
  <sheetFormatPr baseColWidth="10" defaultRowHeight="14.4" x14ac:dyDescent="0.3"/>
  <cols>
    <col min="1" max="1" width="5.44140625" bestFit="1" customWidth="1"/>
    <col min="2" max="2" width="3.21875" bestFit="1" customWidth="1"/>
    <col min="3" max="3" width="5.77734375" bestFit="1" customWidth="1"/>
    <col min="4" max="4" width="4.6640625" bestFit="1" customWidth="1"/>
    <col min="5" max="5" width="6" bestFit="1" customWidth="1"/>
    <col min="6" max="6" width="2.109375" bestFit="1" customWidth="1"/>
    <col min="7" max="7" width="4.88671875" bestFit="1" customWidth="1"/>
    <col min="8" max="8" width="3.5546875" bestFit="1" customWidth="1"/>
    <col min="9" max="9" width="5.5546875" bestFit="1" customWidth="1"/>
    <col min="10" max="10" width="3.109375" bestFit="1" customWidth="1"/>
    <col min="11" max="11" width="5.21875" bestFit="1" customWidth="1"/>
    <col min="12" max="12" width="4.44140625" bestFit="1" customWidth="1"/>
    <col min="13" max="13" width="4.33203125" bestFit="1" customWidth="1"/>
    <col min="14" max="14" width="4.88671875" bestFit="1" customWidth="1"/>
    <col min="15" max="15" width="5.33203125" bestFit="1" customWidth="1"/>
    <col min="16" max="16" width="4.44140625" bestFit="1" customWidth="1"/>
    <col min="17" max="17" width="4.77734375" bestFit="1" customWidth="1"/>
    <col min="18" max="18" width="4.33203125" bestFit="1" customWidth="1"/>
    <col min="19" max="19" width="3.5546875" bestFit="1" customWidth="1"/>
    <col min="20" max="20" width="3.77734375" bestFit="1" customWidth="1"/>
    <col min="21" max="21" width="4.33203125" bestFit="1" customWidth="1"/>
    <col min="22" max="22" width="2.109375" bestFit="1" customWidth="1"/>
    <col min="23" max="23" width="3.109375" bestFit="1" customWidth="1"/>
    <col min="24" max="26" width="3.5546875" bestFit="1" customWidth="1"/>
    <col min="27" max="27" width="4.44140625" bestFit="1" customWidth="1"/>
    <col min="28" max="28" width="4.88671875" bestFit="1" customWidth="1"/>
    <col min="29" max="29" width="3.109375" bestFit="1" customWidth="1"/>
    <col min="30" max="30" width="8.6640625" bestFit="1" customWidth="1"/>
    <col min="31" max="31" width="3.88671875" bestFit="1" customWidth="1"/>
  </cols>
  <sheetData>
    <row r="1" spans="1:31" ht="15" thickTop="1" x14ac:dyDescent="0.3">
      <c r="A1" s="65"/>
      <c r="B1" s="77"/>
      <c r="C1" s="66"/>
      <c r="D1" s="67"/>
      <c r="E1" s="66"/>
      <c r="F1" s="68"/>
      <c r="G1" s="69" t="s">
        <v>0</v>
      </c>
      <c r="H1" s="67" t="s">
        <v>1</v>
      </c>
      <c r="I1" s="70" t="s">
        <v>0</v>
      </c>
      <c r="J1" s="69" t="s">
        <v>2</v>
      </c>
      <c r="K1" s="71" t="s">
        <v>3</v>
      </c>
      <c r="L1" s="71" t="s">
        <v>4</v>
      </c>
      <c r="M1" s="72" t="s">
        <v>5</v>
      </c>
      <c r="N1" s="72" t="s">
        <v>6</v>
      </c>
      <c r="O1" s="73" t="s">
        <v>7</v>
      </c>
      <c r="P1" s="72" t="s">
        <v>6</v>
      </c>
      <c r="Q1" s="72"/>
      <c r="R1" s="72" t="s">
        <v>8</v>
      </c>
      <c r="S1" s="72"/>
      <c r="T1" s="74"/>
      <c r="U1" s="72" t="s">
        <v>8</v>
      </c>
      <c r="V1" s="66"/>
      <c r="W1" s="75"/>
      <c r="X1" s="75"/>
      <c r="Y1" s="76"/>
      <c r="Z1" s="76"/>
      <c r="AA1" s="72" t="s">
        <v>9</v>
      </c>
      <c r="AB1" s="72" t="s">
        <v>10</v>
      </c>
      <c r="AC1" s="71"/>
      <c r="AD1" s="71" t="s">
        <v>11</v>
      </c>
      <c r="AE1" s="70" t="s">
        <v>12</v>
      </c>
    </row>
    <row r="2" spans="1:31" x14ac:dyDescent="0.3">
      <c r="A2" s="45"/>
      <c r="B2" s="78"/>
      <c r="C2" s="6"/>
      <c r="D2" s="1"/>
      <c r="E2" s="6"/>
      <c r="F2" s="1"/>
      <c r="G2" s="8" t="s">
        <v>13</v>
      </c>
      <c r="H2" s="7" t="s">
        <v>13</v>
      </c>
      <c r="I2" s="53" t="s">
        <v>14</v>
      </c>
      <c r="J2" s="8"/>
      <c r="K2" s="9" t="s">
        <v>15</v>
      </c>
      <c r="L2" s="9" t="s">
        <v>16</v>
      </c>
      <c r="M2" s="10" t="s">
        <v>17</v>
      </c>
      <c r="N2" s="10" t="s">
        <v>18</v>
      </c>
      <c r="O2" s="59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1" t="s">
        <v>23</v>
      </c>
      <c r="U2" s="10" t="s">
        <v>24</v>
      </c>
      <c r="V2" s="1"/>
      <c r="W2" s="10" t="s">
        <v>25</v>
      </c>
      <c r="X2" s="10" t="s">
        <v>26</v>
      </c>
      <c r="Y2" s="12" t="s">
        <v>25</v>
      </c>
      <c r="Z2" s="12" t="s">
        <v>26</v>
      </c>
      <c r="AA2" s="10" t="s">
        <v>27</v>
      </c>
      <c r="AB2" s="10"/>
      <c r="AC2" s="9"/>
      <c r="AD2" s="9" t="s">
        <v>28</v>
      </c>
      <c r="AE2" s="53" t="s">
        <v>29</v>
      </c>
    </row>
    <row r="3" spans="1:31" ht="15" thickBot="1" x14ac:dyDescent="0.35">
      <c r="A3" s="46" t="s">
        <v>59</v>
      </c>
      <c r="B3" s="79" t="s">
        <v>60</v>
      </c>
      <c r="C3" s="32" t="s">
        <v>74</v>
      </c>
      <c r="D3" s="32" t="s">
        <v>75</v>
      </c>
      <c r="E3" s="32"/>
      <c r="F3" s="51"/>
      <c r="G3" s="34" t="s">
        <v>30</v>
      </c>
      <c r="H3" s="32"/>
      <c r="I3" s="54" t="s">
        <v>30</v>
      </c>
      <c r="J3" s="34"/>
      <c r="K3" s="35" t="s">
        <v>31</v>
      </c>
      <c r="L3" s="35"/>
      <c r="M3" s="36"/>
      <c r="N3" s="36" t="s">
        <v>31</v>
      </c>
      <c r="O3" s="60"/>
      <c r="P3" s="36" t="s">
        <v>31</v>
      </c>
      <c r="Q3" s="36" t="s">
        <v>16</v>
      </c>
      <c r="R3" s="36" t="s">
        <v>16</v>
      </c>
      <c r="S3" s="36" t="s">
        <v>16</v>
      </c>
      <c r="T3" s="37" t="s">
        <v>31</v>
      </c>
      <c r="U3" s="36" t="s">
        <v>16</v>
      </c>
      <c r="V3" s="33"/>
      <c r="W3" s="36" t="s">
        <v>32</v>
      </c>
      <c r="X3" s="36" t="s">
        <v>32</v>
      </c>
      <c r="Y3" s="38" t="s">
        <v>16</v>
      </c>
      <c r="Z3" s="38" t="s">
        <v>16</v>
      </c>
      <c r="AA3" s="36" t="s">
        <v>16</v>
      </c>
      <c r="AB3" s="36" t="s">
        <v>16</v>
      </c>
      <c r="AC3" s="35" t="s">
        <v>33</v>
      </c>
      <c r="AD3" s="35" t="s">
        <v>16</v>
      </c>
      <c r="AE3" s="54" t="s">
        <v>34</v>
      </c>
    </row>
    <row r="4" spans="1:31" ht="15" thickTop="1" x14ac:dyDescent="0.3">
      <c r="A4" s="47">
        <v>33070</v>
      </c>
      <c r="B4" s="80" t="s">
        <v>61</v>
      </c>
      <c r="C4" s="7" t="s">
        <v>43</v>
      </c>
      <c r="D4" s="7" t="s">
        <v>44</v>
      </c>
      <c r="E4" s="7" t="s">
        <v>45</v>
      </c>
      <c r="F4" s="50">
        <v>9</v>
      </c>
      <c r="G4" s="17">
        <v>107.85</v>
      </c>
      <c r="H4" s="6">
        <v>169</v>
      </c>
      <c r="I4" s="56">
        <v>63.816568047337277</v>
      </c>
      <c r="J4" s="19">
        <v>2.52</v>
      </c>
      <c r="K4" s="18">
        <v>23.86</v>
      </c>
      <c r="L4" s="18">
        <v>486.9387755102041</v>
      </c>
      <c r="M4" s="20">
        <v>4</v>
      </c>
      <c r="N4" s="20">
        <v>24.710659999999997</v>
      </c>
      <c r="O4" s="62">
        <v>1.4120377142857141</v>
      </c>
      <c r="P4" s="20">
        <v>6.3525</v>
      </c>
      <c r="Q4" s="20">
        <v>417.2</v>
      </c>
      <c r="R4" s="20">
        <v>149.89563999999999</v>
      </c>
      <c r="S4" s="20">
        <v>14.454219948849104</v>
      </c>
      <c r="T4" s="21">
        <v>0.56516</v>
      </c>
      <c r="U4" s="20">
        <v>122.277</v>
      </c>
      <c r="V4" s="6">
        <v>9</v>
      </c>
      <c r="W4" s="20">
        <v>32</v>
      </c>
      <c r="X4" s="20">
        <v>72</v>
      </c>
      <c r="Y4" s="22">
        <v>2.6337448559670782</v>
      </c>
      <c r="Z4" s="22">
        <v>3.5928143712574854</v>
      </c>
      <c r="AA4" s="20">
        <v>507.61955468627775</v>
      </c>
      <c r="AB4" s="20">
        <v>567.09564</v>
      </c>
      <c r="AC4" s="18">
        <v>0.89512159657280688</v>
      </c>
      <c r="AD4" s="18">
        <v>59.476085313722251</v>
      </c>
      <c r="AE4" s="56">
        <v>5.1851860747398968</v>
      </c>
    </row>
    <row r="5" spans="1:31" x14ac:dyDescent="0.3">
      <c r="A5" s="47">
        <v>33070</v>
      </c>
      <c r="B5" s="80" t="s">
        <v>61</v>
      </c>
      <c r="C5" s="7" t="s">
        <v>43</v>
      </c>
      <c r="D5" s="7" t="s">
        <v>44</v>
      </c>
      <c r="E5" s="7" t="s">
        <v>46</v>
      </c>
      <c r="F5" s="50">
        <v>10</v>
      </c>
      <c r="G5" s="17">
        <v>119.2</v>
      </c>
      <c r="H5" s="6">
        <v>173</v>
      </c>
      <c r="I5" s="56">
        <v>68.901734104046241</v>
      </c>
      <c r="J5" s="19">
        <v>2.5099999999999998</v>
      </c>
      <c r="K5" s="18">
        <v>24.23</v>
      </c>
      <c r="L5" s="18">
        <v>494.48979591836735</v>
      </c>
      <c r="M5" s="20">
        <v>4</v>
      </c>
      <c r="N5" s="20">
        <v>24.710659999999997</v>
      </c>
      <c r="O5" s="62">
        <v>1.4120377142857141</v>
      </c>
      <c r="P5" s="20">
        <v>6.7</v>
      </c>
      <c r="Q5" s="20">
        <v>478.5</v>
      </c>
      <c r="R5" s="20">
        <v>158.42160000000001</v>
      </c>
      <c r="S5" s="20">
        <v>15.472122762148338</v>
      </c>
      <c r="T5" s="21">
        <v>0.60496000000000005</v>
      </c>
      <c r="U5" s="20">
        <v>126.7449</v>
      </c>
      <c r="V5" s="6">
        <v>10</v>
      </c>
      <c r="W5" s="20">
        <v>29.2</v>
      </c>
      <c r="X5" s="20">
        <v>66.8</v>
      </c>
      <c r="Y5" s="22">
        <v>2.4032921810699586</v>
      </c>
      <c r="Z5" s="22">
        <v>3.3333333333333335</v>
      </c>
      <c r="AA5" s="20">
        <v>515.69854419491901</v>
      </c>
      <c r="AB5" s="20">
        <v>636.92160000000001</v>
      </c>
      <c r="AC5" s="18">
        <v>0.80967350486295175</v>
      </c>
      <c r="AD5" s="18">
        <v>121.223055805081</v>
      </c>
      <c r="AE5" s="56">
        <v>5.1195819227717534</v>
      </c>
    </row>
    <row r="6" spans="1:31" x14ac:dyDescent="0.3">
      <c r="A6" s="47">
        <v>33070</v>
      </c>
      <c r="B6" s="80" t="s">
        <v>61</v>
      </c>
      <c r="C6" s="7" t="s">
        <v>43</v>
      </c>
      <c r="D6" s="7" t="s">
        <v>44</v>
      </c>
      <c r="E6" s="23" t="s">
        <v>47</v>
      </c>
      <c r="F6" s="52">
        <v>11</v>
      </c>
      <c r="G6" s="25">
        <v>127.5</v>
      </c>
      <c r="H6" s="24">
        <v>188</v>
      </c>
      <c r="I6" s="57">
        <v>67.819148936170208</v>
      </c>
      <c r="J6" s="27">
        <v>2.5099999999999998</v>
      </c>
      <c r="K6" s="26">
        <v>24.34</v>
      </c>
      <c r="L6" s="26">
        <v>496.73469387755102</v>
      </c>
      <c r="M6" s="28">
        <v>4</v>
      </c>
      <c r="N6" s="28">
        <v>24.710659999999997</v>
      </c>
      <c r="O6" s="63">
        <v>1.4120377142857141</v>
      </c>
      <c r="P6" s="28">
        <v>6.2424999999999997</v>
      </c>
      <c r="Q6" s="28">
        <v>412.55</v>
      </c>
      <c r="R6" s="28">
        <v>158.61090999999999</v>
      </c>
      <c r="S6" s="28">
        <v>17.100767263427109</v>
      </c>
      <c r="T6" s="29">
        <v>0.66864000000000001</v>
      </c>
      <c r="U6" s="28">
        <v>131.30009999999999</v>
      </c>
      <c r="V6" s="24">
        <v>11</v>
      </c>
      <c r="W6" s="28">
        <v>30.8</v>
      </c>
      <c r="X6" s="28">
        <v>68.8</v>
      </c>
      <c r="Y6" s="30">
        <v>2.5349794238683128</v>
      </c>
      <c r="Z6" s="30">
        <v>3.4331337325349303</v>
      </c>
      <c r="AA6" s="28">
        <v>519.80357429738137</v>
      </c>
      <c r="AB6" s="28">
        <v>571.16091000000006</v>
      </c>
      <c r="AC6" s="26">
        <v>0.91008254450988479</v>
      </c>
      <c r="AD6" s="26">
        <v>51.357335702618684</v>
      </c>
      <c r="AE6" s="57">
        <v>4.6375378237915772</v>
      </c>
    </row>
    <row r="7" spans="1:31" x14ac:dyDescent="0.3">
      <c r="A7" s="47">
        <v>33070</v>
      </c>
      <c r="B7" s="80" t="s">
        <v>61</v>
      </c>
      <c r="C7" s="7" t="s">
        <v>43</v>
      </c>
      <c r="D7" s="7" t="s">
        <v>48</v>
      </c>
      <c r="E7" s="7" t="s">
        <v>45</v>
      </c>
      <c r="F7" s="50">
        <v>12</v>
      </c>
      <c r="G7" s="17">
        <v>115.64</v>
      </c>
      <c r="H7" s="6">
        <v>153</v>
      </c>
      <c r="I7" s="56">
        <v>75.58169934640523</v>
      </c>
      <c r="J7" s="19">
        <v>2.5499999999999998</v>
      </c>
      <c r="K7" s="18">
        <v>24.78</v>
      </c>
      <c r="L7" s="18">
        <v>505.71428571428578</v>
      </c>
      <c r="M7" s="20">
        <v>4.0999999999999996</v>
      </c>
      <c r="N7" s="20">
        <v>25.698276349999993</v>
      </c>
      <c r="O7" s="62">
        <v>1.4684729342857139</v>
      </c>
      <c r="P7" s="20">
        <v>6.5324999999999998</v>
      </c>
      <c r="Q7" s="20">
        <v>420.15</v>
      </c>
      <c r="R7" s="20">
        <v>163.72103000000001</v>
      </c>
      <c r="S7" s="20">
        <v>23.615345268542196</v>
      </c>
      <c r="T7" s="21">
        <v>0.92335999999999985</v>
      </c>
      <c r="U7" s="20">
        <v>135.90710000000001</v>
      </c>
      <c r="V7" s="6">
        <v>12</v>
      </c>
      <c r="W7" s="20">
        <v>28.4</v>
      </c>
      <c r="X7" s="20">
        <v>70.400000000000006</v>
      </c>
      <c r="Y7" s="22">
        <v>2.3374485596707819</v>
      </c>
      <c r="Z7" s="22">
        <v>3.512974051896208</v>
      </c>
      <c r="AA7" s="20">
        <v>535.18005359439496</v>
      </c>
      <c r="AB7" s="20">
        <v>583.87103000000002</v>
      </c>
      <c r="AC7" s="18">
        <v>0.91660662388814695</v>
      </c>
      <c r="AD7" s="18">
        <v>48.690976405605056</v>
      </c>
      <c r="AE7" s="56">
        <v>3.4664119482108826</v>
      </c>
    </row>
    <row r="8" spans="1:31" x14ac:dyDescent="0.3">
      <c r="A8" s="47">
        <v>33070</v>
      </c>
      <c r="B8" s="80" t="s">
        <v>61</v>
      </c>
      <c r="C8" s="7" t="s">
        <v>43</v>
      </c>
      <c r="D8" s="7" t="s">
        <v>48</v>
      </c>
      <c r="E8" s="7" t="s">
        <v>46</v>
      </c>
      <c r="F8" s="50">
        <v>13</v>
      </c>
      <c r="G8" s="17">
        <v>116.7</v>
      </c>
      <c r="H8" s="6">
        <v>158</v>
      </c>
      <c r="I8" s="56">
        <v>73.860759493670898</v>
      </c>
      <c r="J8" s="19">
        <v>2.54</v>
      </c>
      <c r="K8" s="18">
        <v>24.97</v>
      </c>
      <c r="L8" s="18">
        <v>509.59183673469386</v>
      </c>
      <c r="M8" s="20">
        <v>4.2</v>
      </c>
      <c r="N8" s="20">
        <v>26.686689399999992</v>
      </c>
      <c r="O8" s="62">
        <v>1.5249536799999994</v>
      </c>
      <c r="P8" s="20">
        <v>6.1375000000000002</v>
      </c>
      <c r="Q8" s="20">
        <v>430.75</v>
      </c>
      <c r="R8" s="20">
        <v>166.24435</v>
      </c>
      <c r="S8" s="20">
        <v>24.226086956521737</v>
      </c>
      <c r="T8" s="21">
        <v>0.94723999999999997</v>
      </c>
      <c r="U8" s="20">
        <v>137.7287</v>
      </c>
      <c r="V8" s="6">
        <v>13</v>
      </c>
      <c r="W8" s="20">
        <v>28.8</v>
      </c>
      <c r="X8" s="20">
        <v>75.599999999999994</v>
      </c>
      <c r="Y8" s="22">
        <v>2.3703703703703702</v>
      </c>
      <c r="Z8" s="22">
        <v>3.772455089820359</v>
      </c>
      <c r="AA8" s="20">
        <v>539.96074915140628</v>
      </c>
      <c r="AB8" s="20">
        <v>596.99434999999994</v>
      </c>
      <c r="AC8" s="18">
        <v>0.90446542609893432</v>
      </c>
      <c r="AD8" s="18">
        <v>57.033600848593665</v>
      </c>
      <c r="AE8" s="56">
        <v>3.4311019831299356</v>
      </c>
    </row>
    <row r="9" spans="1:31" x14ac:dyDescent="0.3">
      <c r="A9" s="47">
        <v>33070</v>
      </c>
      <c r="B9" s="80" t="s">
        <v>61</v>
      </c>
      <c r="C9" s="7" t="s">
        <v>43</v>
      </c>
      <c r="D9" s="7" t="s">
        <v>48</v>
      </c>
      <c r="E9" s="7" t="s">
        <v>47</v>
      </c>
      <c r="F9" s="50">
        <v>14</v>
      </c>
      <c r="G9" s="17">
        <v>131.47999999999999</v>
      </c>
      <c r="H9" s="6">
        <v>182</v>
      </c>
      <c r="I9" s="56">
        <v>72.241758241758234</v>
      </c>
      <c r="J9" s="19">
        <v>2.5499999999999998</v>
      </c>
      <c r="K9" s="18">
        <v>25.05</v>
      </c>
      <c r="L9" s="18">
        <v>511.22448979591837</v>
      </c>
      <c r="M9" s="20">
        <v>4.2</v>
      </c>
      <c r="N9" s="20">
        <v>26.686689399999992</v>
      </c>
      <c r="O9" s="62">
        <v>1.5249536799999994</v>
      </c>
      <c r="P9" s="20">
        <v>6.9775</v>
      </c>
      <c r="Q9" s="20">
        <v>423.95</v>
      </c>
      <c r="R9" s="20">
        <v>168.73789000000002</v>
      </c>
      <c r="S9" s="20">
        <v>22.597442455242966</v>
      </c>
      <c r="T9" s="21">
        <v>0.88356000000000001</v>
      </c>
      <c r="U9" s="20">
        <v>140.67240000000001</v>
      </c>
      <c r="V9" s="6">
        <v>14</v>
      </c>
      <c r="W9" s="20">
        <v>28.4</v>
      </c>
      <c r="X9" s="20">
        <v>70.400000000000006</v>
      </c>
      <c r="Y9" s="22">
        <v>2.3374485596707819</v>
      </c>
      <c r="Z9" s="22">
        <v>3.512974051896208</v>
      </c>
      <c r="AA9" s="20">
        <v>539.6723548627283</v>
      </c>
      <c r="AB9" s="20">
        <v>592.68789000000004</v>
      </c>
      <c r="AC9" s="18">
        <v>0.91055066919408167</v>
      </c>
      <c r="AD9" s="18">
        <v>53.01553513727174</v>
      </c>
      <c r="AE9" s="56">
        <v>3.7335616704015577</v>
      </c>
    </row>
    <row r="10" spans="1:31" x14ac:dyDescent="0.3">
      <c r="A10" s="47">
        <v>33070</v>
      </c>
      <c r="B10" s="80" t="s">
        <v>61</v>
      </c>
      <c r="C10" s="7" t="s">
        <v>43</v>
      </c>
      <c r="D10" s="7" t="s">
        <v>49</v>
      </c>
      <c r="E10" s="7" t="s">
        <v>45</v>
      </c>
      <c r="F10" s="50">
        <v>15</v>
      </c>
      <c r="G10" s="17">
        <v>138.02000000000001</v>
      </c>
      <c r="H10" s="6">
        <v>188</v>
      </c>
      <c r="I10" s="56">
        <v>73.414893617021278</v>
      </c>
      <c r="J10" s="19">
        <v>2.56</v>
      </c>
      <c r="K10" s="18">
        <v>24.54</v>
      </c>
      <c r="L10" s="18">
        <v>500.81632653061223</v>
      </c>
      <c r="M10" s="20">
        <v>4</v>
      </c>
      <c r="N10" s="20">
        <v>24.710659999999997</v>
      </c>
      <c r="O10" s="62">
        <v>1.4120377142857141</v>
      </c>
      <c r="P10" s="20">
        <v>5.6550000000000002</v>
      </c>
      <c r="Q10" s="20">
        <v>411.65</v>
      </c>
      <c r="R10" s="20">
        <v>164.57552999999999</v>
      </c>
      <c r="S10" s="20">
        <v>24.429667519181582</v>
      </c>
      <c r="T10" s="21">
        <v>0.95519999999999994</v>
      </c>
      <c r="U10" s="20">
        <v>137.32429999999999</v>
      </c>
      <c r="V10" s="6">
        <v>15</v>
      </c>
      <c r="W10" s="20">
        <v>27.6</v>
      </c>
      <c r="X10" s="20">
        <v>67.599999999999994</v>
      </c>
      <c r="Y10" s="22">
        <v>2.2716049382716048</v>
      </c>
      <c r="Z10" s="22">
        <v>3.3732534930139719</v>
      </c>
      <c r="AA10" s="20">
        <v>530.89085248107938</v>
      </c>
      <c r="AB10" s="20">
        <v>576.22552999999994</v>
      </c>
      <c r="AC10" s="18">
        <v>0.92132476754558135</v>
      </c>
      <c r="AD10" s="18">
        <v>45.334677518920557</v>
      </c>
      <c r="AE10" s="56">
        <v>3.3683538646356785</v>
      </c>
    </row>
    <row r="11" spans="1:31" x14ac:dyDescent="0.3">
      <c r="A11" s="47">
        <v>33070</v>
      </c>
      <c r="B11" s="80" t="s">
        <v>61</v>
      </c>
      <c r="C11" s="7" t="s">
        <v>43</v>
      </c>
      <c r="D11" s="7" t="s">
        <v>49</v>
      </c>
      <c r="E11" s="7" t="s">
        <v>46</v>
      </c>
      <c r="F11" s="50">
        <v>16</v>
      </c>
      <c r="G11" s="17">
        <v>135.15</v>
      </c>
      <c r="H11" s="6">
        <v>179</v>
      </c>
      <c r="I11" s="56">
        <v>75.502793296089393</v>
      </c>
      <c r="J11" s="19">
        <v>2.56</v>
      </c>
      <c r="K11" s="18">
        <v>25.63</v>
      </c>
      <c r="L11" s="18">
        <v>523.0612244897959</v>
      </c>
      <c r="M11" s="20">
        <v>4.3</v>
      </c>
      <c r="N11" s="20">
        <v>27.675899149999999</v>
      </c>
      <c r="O11" s="62">
        <v>1.5814799514285713</v>
      </c>
      <c r="P11" s="20">
        <v>7.2074999999999996</v>
      </c>
      <c r="Q11" s="20">
        <v>441.05</v>
      </c>
      <c r="R11" s="20">
        <v>167.55211</v>
      </c>
      <c r="S11" s="20">
        <v>26.669053708439897</v>
      </c>
      <c r="T11" s="21">
        <v>1.0427599999999999</v>
      </c>
      <c r="U11" s="20">
        <v>138.3546</v>
      </c>
      <c r="V11" s="6">
        <v>16</v>
      </c>
      <c r="W11" s="20">
        <v>28</v>
      </c>
      <c r="X11" s="20">
        <v>72.400000000000006</v>
      </c>
      <c r="Y11" s="22">
        <v>2.3045267489711931</v>
      </c>
      <c r="Z11" s="22">
        <v>3.6127744510978048</v>
      </c>
      <c r="AA11" s="20">
        <v>555.64757939830486</v>
      </c>
      <c r="AB11" s="20">
        <v>608.60210999999993</v>
      </c>
      <c r="AC11" s="18">
        <v>0.91298989975290246</v>
      </c>
      <c r="AD11" s="18">
        <v>52.954530601695069</v>
      </c>
      <c r="AE11" s="56">
        <v>3.1413208700947486</v>
      </c>
    </row>
    <row r="12" spans="1:31" x14ac:dyDescent="0.3">
      <c r="A12" s="47">
        <v>33070</v>
      </c>
      <c r="B12" s="80" t="s">
        <v>61</v>
      </c>
      <c r="C12" s="81" t="s">
        <v>43</v>
      </c>
      <c r="D12" s="81" t="s">
        <v>49</v>
      </c>
      <c r="E12" s="81" t="s">
        <v>47</v>
      </c>
      <c r="F12" s="50">
        <v>17</v>
      </c>
      <c r="G12" s="17">
        <v>126.34</v>
      </c>
      <c r="H12" s="31">
        <v>164</v>
      </c>
      <c r="I12" s="56">
        <v>77.036585365853654</v>
      </c>
      <c r="J12" s="19">
        <v>2.56</v>
      </c>
      <c r="K12" s="85">
        <v>25.5</v>
      </c>
      <c r="L12" s="85">
        <v>520.40816326530614</v>
      </c>
      <c r="M12" s="86">
        <v>4.0999999999999996</v>
      </c>
      <c r="N12" s="86">
        <v>25.698276349999993</v>
      </c>
      <c r="O12" s="62">
        <v>1.4684729342857139</v>
      </c>
      <c r="P12" s="86">
        <v>5.8075000000000001</v>
      </c>
      <c r="Q12" s="86">
        <v>428.65</v>
      </c>
      <c r="R12" s="86">
        <v>168.53303</v>
      </c>
      <c r="S12" s="86">
        <v>26.261892583120201</v>
      </c>
      <c r="T12" s="87">
        <v>1.02684</v>
      </c>
      <c r="U12" s="86">
        <v>140.15639999999999</v>
      </c>
      <c r="V12" s="31">
        <v>17</v>
      </c>
      <c r="W12" s="86">
        <v>28.4</v>
      </c>
      <c r="X12" s="86">
        <v>66.8</v>
      </c>
      <c r="Y12" s="88">
        <v>2.3374485596707819</v>
      </c>
      <c r="Z12" s="88">
        <v>3.3333333333333335</v>
      </c>
      <c r="AA12" s="86">
        <v>552.34083774143051</v>
      </c>
      <c r="AB12" s="86">
        <v>597.18303000000003</v>
      </c>
      <c r="AC12" s="85">
        <v>0.92491047131970661</v>
      </c>
      <c r="AD12" s="85">
        <v>44.842192258569526</v>
      </c>
      <c r="AE12" s="56">
        <v>3.2086992486658099</v>
      </c>
    </row>
    <row r="13" spans="1:31" x14ac:dyDescent="0.3">
      <c r="A13" s="47">
        <v>33077</v>
      </c>
      <c r="B13" s="80" t="s">
        <v>62</v>
      </c>
      <c r="C13" s="7" t="s">
        <v>43</v>
      </c>
      <c r="D13" s="7" t="s">
        <v>44</v>
      </c>
      <c r="E13" s="7" t="s">
        <v>45</v>
      </c>
      <c r="F13" s="50">
        <v>9</v>
      </c>
      <c r="G13" s="17">
        <v>134.05000000000001</v>
      </c>
      <c r="H13" s="6">
        <v>191</v>
      </c>
      <c r="I13" s="56">
        <v>70.183246073298434</v>
      </c>
      <c r="J13" s="19">
        <v>2.56</v>
      </c>
      <c r="K13" s="18">
        <v>23.84</v>
      </c>
      <c r="L13" s="18">
        <v>486.53061224489795</v>
      </c>
      <c r="M13" s="20">
        <v>4.5999999999999996</v>
      </c>
      <c r="N13" s="20">
        <v>30.648308599999993</v>
      </c>
      <c r="O13" s="62">
        <v>1.7513319199999995</v>
      </c>
      <c r="P13" s="20">
        <v>10.9825</v>
      </c>
      <c r="Q13" s="20">
        <v>406.7</v>
      </c>
      <c r="R13" s="20">
        <v>142.09994</v>
      </c>
      <c r="S13" s="20">
        <v>15.472122762148338</v>
      </c>
      <c r="T13" s="21">
        <v>0.60496000000000005</v>
      </c>
      <c r="U13" s="20">
        <v>115.1764</v>
      </c>
      <c r="V13" s="6">
        <v>9</v>
      </c>
      <c r="W13" s="20">
        <v>27.6</v>
      </c>
      <c r="X13" s="20">
        <v>79.599999999999994</v>
      </c>
      <c r="Y13" s="22">
        <v>2.2716049382716048</v>
      </c>
      <c r="Z13" s="22">
        <v>3.9720558882235526</v>
      </c>
      <c r="AA13" s="20">
        <v>508.24639583354144</v>
      </c>
      <c r="AB13" s="20">
        <v>548.79994000000011</v>
      </c>
      <c r="AC13" s="18">
        <v>0.92610504992683007</v>
      </c>
      <c r="AD13" s="18">
        <v>40.553544166458664</v>
      </c>
      <c r="AE13" s="56">
        <v>4.5921281192144932</v>
      </c>
    </row>
    <row r="14" spans="1:31" x14ac:dyDescent="0.3">
      <c r="A14" s="47">
        <v>33077</v>
      </c>
      <c r="B14" s="80" t="s">
        <v>62</v>
      </c>
      <c r="C14" s="7" t="s">
        <v>43</v>
      </c>
      <c r="D14" s="7" t="s">
        <v>44</v>
      </c>
      <c r="E14" s="7" t="s">
        <v>46</v>
      </c>
      <c r="F14" s="50">
        <v>10</v>
      </c>
      <c r="G14" s="17">
        <v>125.32</v>
      </c>
      <c r="H14" s="6">
        <v>174</v>
      </c>
      <c r="I14" s="56">
        <v>72.022988505747122</v>
      </c>
      <c r="J14" s="19">
        <v>2.56</v>
      </c>
      <c r="K14" s="18">
        <v>23.67</v>
      </c>
      <c r="L14" s="18">
        <v>483.06122448979596</v>
      </c>
      <c r="M14" s="20">
        <v>4.5999999999999996</v>
      </c>
      <c r="N14" s="20">
        <v>30.648308599999993</v>
      </c>
      <c r="O14" s="62">
        <v>1.7513319199999995</v>
      </c>
      <c r="P14" s="20">
        <v>10.7575</v>
      </c>
      <c r="Q14" s="20">
        <v>403.65</v>
      </c>
      <c r="R14" s="20">
        <v>144.84753000000001</v>
      </c>
      <c r="S14" s="20">
        <v>16.490025575447568</v>
      </c>
      <c r="T14" s="21">
        <v>0.64476</v>
      </c>
      <c r="U14" s="20">
        <v>118.1259</v>
      </c>
      <c r="V14" s="6">
        <v>10</v>
      </c>
      <c r="W14" s="20">
        <v>28.8</v>
      </c>
      <c r="X14" s="20">
        <v>80</v>
      </c>
      <c r="Y14" s="22">
        <v>2.3703703703703702</v>
      </c>
      <c r="Z14" s="22">
        <v>3.9920159680638725</v>
      </c>
      <c r="AA14" s="20">
        <v>505.9136364036778</v>
      </c>
      <c r="AB14" s="20">
        <v>548.4975300000001</v>
      </c>
      <c r="AC14" s="18">
        <v>0.92236265203177437</v>
      </c>
      <c r="AD14" s="18">
        <v>42.583893596322298</v>
      </c>
      <c r="AE14" s="56">
        <v>4.3919740857063099</v>
      </c>
    </row>
    <row r="15" spans="1:31" ht="15" thickBot="1" x14ac:dyDescent="0.35">
      <c r="A15" s="82">
        <v>33077</v>
      </c>
      <c r="B15" s="79" t="s">
        <v>62</v>
      </c>
      <c r="C15" s="32" t="s">
        <v>43</v>
      </c>
      <c r="D15" s="32" t="s">
        <v>44</v>
      </c>
      <c r="E15" s="32" t="s">
        <v>47</v>
      </c>
      <c r="F15" s="51">
        <v>11</v>
      </c>
      <c r="G15" s="39">
        <v>141.19999999999999</v>
      </c>
      <c r="H15" s="33">
        <v>186</v>
      </c>
      <c r="I15" s="58">
        <v>75.913978494623649</v>
      </c>
      <c r="J15" s="41">
        <v>2.57</v>
      </c>
      <c r="K15" s="40">
        <v>24.54</v>
      </c>
      <c r="L15" s="40">
        <v>500.81632653061223</v>
      </c>
      <c r="M15" s="42">
        <v>4.5</v>
      </c>
      <c r="N15" s="42">
        <v>29.656708749999993</v>
      </c>
      <c r="O15" s="64">
        <v>1.694669071428571</v>
      </c>
      <c r="P15" s="42">
        <v>9.3825000000000003</v>
      </c>
      <c r="Q15" s="42">
        <v>419.3</v>
      </c>
      <c r="R15" s="42">
        <v>151.47445999999999</v>
      </c>
      <c r="S15" s="42">
        <v>18.118670076726342</v>
      </c>
      <c r="T15" s="43">
        <v>0.70844000000000007</v>
      </c>
      <c r="U15" s="42">
        <v>123.71680000000001</v>
      </c>
      <c r="V15" s="33">
        <v>11</v>
      </c>
      <c r="W15" s="42">
        <v>24.8</v>
      </c>
      <c r="X15" s="42">
        <v>66.400000000000006</v>
      </c>
      <c r="Y15" s="44">
        <v>2.0411522633744856</v>
      </c>
      <c r="Z15" s="44">
        <v>3.3133732534930136</v>
      </c>
      <c r="AA15" s="42">
        <v>524.28952212420609</v>
      </c>
      <c r="AB15" s="42">
        <v>570.77445999999998</v>
      </c>
      <c r="AC15" s="40">
        <v>0.91855813261897901</v>
      </c>
      <c r="AD15" s="40">
        <v>46.484937875793889</v>
      </c>
      <c r="AE15" s="58">
        <v>4.1800656272937724</v>
      </c>
    </row>
    <row r="16" spans="1:31" ht="15" thickTop="1" x14ac:dyDescent="0.3">
      <c r="A16" s="48">
        <v>33077</v>
      </c>
      <c r="B16" s="80" t="s">
        <v>62</v>
      </c>
      <c r="C16" s="7" t="s">
        <v>43</v>
      </c>
      <c r="D16" s="7" t="s">
        <v>48</v>
      </c>
      <c r="E16" s="3" t="s">
        <v>45</v>
      </c>
      <c r="F16" s="49">
        <v>12</v>
      </c>
      <c r="G16" s="14">
        <v>119.94</v>
      </c>
      <c r="H16" s="2">
        <v>150</v>
      </c>
      <c r="I16" s="55">
        <v>79.959999999999994</v>
      </c>
      <c r="J16" s="15">
        <v>2.57</v>
      </c>
      <c r="K16" s="13">
        <v>24.46</v>
      </c>
      <c r="L16" s="13">
        <v>499.18367346938777</v>
      </c>
      <c r="M16" s="4">
        <v>4.5999999999999996</v>
      </c>
      <c r="N16" s="4">
        <v>30.648308599999993</v>
      </c>
      <c r="O16" s="61">
        <v>1.7513319199999995</v>
      </c>
      <c r="P16" s="4">
        <v>10.307499999999999</v>
      </c>
      <c r="Q16" s="4">
        <v>415.15</v>
      </c>
      <c r="R16" s="4">
        <v>155.82233000000002</v>
      </c>
      <c r="S16" s="4">
        <v>24.429667519181582</v>
      </c>
      <c r="T16" s="16">
        <v>0.95519999999999994</v>
      </c>
      <c r="U16" s="4">
        <v>128.33940000000001</v>
      </c>
      <c r="V16" s="2">
        <v>12</v>
      </c>
      <c r="W16" s="4">
        <v>27.6</v>
      </c>
      <c r="X16" s="4">
        <v>73.2</v>
      </c>
      <c r="Y16" s="5">
        <v>2.2716049382716048</v>
      </c>
      <c r="Z16" s="5">
        <v>3.6526946107784433</v>
      </c>
      <c r="AA16" s="4">
        <v>529.53764053761938</v>
      </c>
      <c r="AB16" s="4">
        <v>570.97233000000006</v>
      </c>
      <c r="AC16" s="13">
        <v>0.92743135300027468</v>
      </c>
      <c r="AD16" s="13">
        <v>41.434689462380675</v>
      </c>
      <c r="AE16" s="55">
        <v>3.1892028386725304</v>
      </c>
    </row>
    <row r="17" spans="1:31" x14ac:dyDescent="0.3">
      <c r="A17" s="47">
        <v>33077</v>
      </c>
      <c r="B17" s="80" t="s">
        <v>62</v>
      </c>
      <c r="C17" s="3" t="s">
        <v>43</v>
      </c>
      <c r="D17" s="3" t="s">
        <v>48</v>
      </c>
      <c r="E17" s="7" t="s">
        <v>46</v>
      </c>
      <c r="F17" s="50">
        <v>13</v>
      </c>
      <c r="G17" s="17">
        <v>142.72999999999999</v>
      </c>
      <c r="H17" s="6">
        <v>181</v>
      </c>
      <c r="I17" s="56">
        <v>78.856353591160214</v>
      </c>
      <c r="J17" s="19">
        <v>2.59</v>
      </c>
      <c r="K17" s="18">
        <v>23.65</v>
      </c>
      <c r="L17" s="18">
        <v>482.65306122448976</v>
      </c>
      <c r="M17" s="20">
        <v>4.5</v>
      </c>
      <c r="N17" s="20">
        <v>29.656708749999993</v>
      </c>
      <c r="O17" s="62">
        <v>1.694669071428571</v>
      </c>
      <c r="P17" s="20">
        <v>9.8800000000000008</v>
      </c>
      <c r="Q17" s="20">
        <v>394.65</v>
      </c>
      <c r="R17" s="20">
        <v>158.49003000000002</v>
      </c>
      <c r="S17" s="20">
        <v>26.669053708439897</v>
      </c>
      <c r="T17" s="21">
        <v>1.0427599999999999</v>
      </c>
      <c r="U17" s="20">
        <v>132.36420000000001</v>
      </c>
      <c r="V17" s="6">
        <v>13</v>
      </c>
      <c r="W17" s="20">
        <v>26.8</v>
      </c>
      <c r="X17" s="20">
        <v>84</v>
      </c>
      <c r="Y17" s="22">
        <v>2.2057613168724282</v>
      </c>
      <c r="Z17" s="22">
        <v>4.1916167664670665</v>
      </c>
      <c r="AA17" s="20">
        <v>515.71949301626921</v>
      </c>
      <c r="AB17" s="20">
        <v>553.14003000000002</v>
      </c>
      <c r="AC17" s="18">
        <v>0.93234889005640975</v>
      </c>
      <c r="AD17" s="18">
        <v>37.420536983730813</v>
      </c>
      <c r="AE17" s="56">
        <v>2.971422078426484</v>
      </c>
    </row>
    <row r="18" spans="1:31" x14ac:dyDescent="0.3">
      <c r="A18" s="47">
        <v>33077</v>
      </c>
      <c r="B18" s="80" t="s">
        <v>62</v>
      </c>
      <c r="C18" s="3" t="s">
        <v>43</v>
      </c>
      <c r="D18" s="7" t="s">
        <v>48</v>
      </c>
      <c r="E18" s="7" t="s">
        <v>47</v>
      </c>
      <c r="F18" s="50">
        <v>14</v>
      </c>
      <c r="G18" s="17">
        <v>152.88</v>
      </c>
      <c r="H18" s="6">
        <v>190</v>
      </c>
      <c r="I18" s="56">
        <v>80.463157894736838</v>
      </c>
      <c r="J18" s="19">
        <v>2.61</v>
      </c>
      <c r="K18" s="18">
        <v>23.35</v>
      </c>
      <c r="L18" s="18">
        <v>476.53061224489801</v>
      </c>
      <c r="M18" s="20">
        <v>4.8</v>
      </c>
      <c r="N18" s="20">
        <v>32.6338984</v>
      </c>
      <c r="O18" s="62">
        <v>1.8647941942857142</v>
      </c>
      <c r="P18" s="20">
        <v>12.965</v>
      </c>
      <c r="Q18" s="20">
        <v>388.3</v>
      </c>
      <c r="R18" s="20">
        <v>158.72986</v>
      </c>
      <c r="S18" s="20">
        <v>24.226086956521737</v>
      </c>
      <c r="T18" s="21">
        <v>0.94723999999999997</v>
      </c>
      <c r="U18" s="20">
        <v>133.02440000000001</v>
      </c>
      <c r="V18" s="6">
        <v>14</v>
      </c>
      <c r="W18" s="20">
        <v>24.8</v>
      </c>
      <c r="X18" s="20">
        <v>85.2</v>
      </c>
      <c r="Y18" s="22">
        <v>2.0411522633744856</v>
      </c>
      <c r="Z18" s="22">
        <v>4.2514970059880239</v>
      </c>
      <c r="AA18" s="20">
        <v>507.04934847078226</v>
      </c>
      <c r="AB18" s="20">
        <v>547.02985999999999</v>
      </c>
      <c r="AC18" s="18">
        <v>0.92691347501721799</v>
      </c>
      <c r="AD18" s="18">
        <v>39.980511529217722</v>
      </c>
      <c r="AE18" s="56">
        <v>3.2760111091170141</v>
      </c>
    </row>
    <row r="19" spans="1:31" x14ac:dyDescent="0.3">
      <c r="A19" s="47">
        <v>33077</v>
      </c>
      <c r="B19" s="80" t="s">
        <v>62</v>
      </c>
      <c r="C19" s="3" t="s">
        <v>43</v>
      </c>
      <c r="D19" s="7" t="s">
        <v>49</v>
      </c>
      <c r="E19" s="23" t="s">
        <v>45</v>
      </c>
      <c r="F19" s="52">
        <v>15</v>
      </c>
      <c r="G19" s="25">
        <v>144.16</v>
      </c>
      <c r="H19" s="24">
        <v>175</v>
      </c>
      <c r="I19" s="57">
        <v>82.377142857142857</v>
      </c>
      <c r="J19" s="27">
        <v>2.6</v>
      </c>
      <c r="K19" s="26">
        <v>23.81</v>
      </c>
      <c r="L19" s="26">
        <v>485.91836734693879</v>
      </c>
      <c r="M19" s="28">
        <v>4.4000000000000004</v>
      </c>
      <c r="N19" s="28">
        <v>28.665905600000002</v>
      </c>
      <c r="O19" s="63">
        <v>1.6380517485714288</v>
      </c>
      <c r="P19" s="28">
        <v>8.3524999999999991</v>
      </c>
      <c r="Q19" s="28">
        <v>404.4</v>
      </c>
      <c r="R19" s="28">
        <v>152.78317999999999</v>
      </c>
      <c r="S19" s="28">
        <v>26.872634271099745</v>
      </c>
      <c r="T19" s="29">
        <v>1.0507200000000001</v>
      </c>
      <c r="U19" s="28">
        <v>126.0119</v>
      </c>
      <c r="V19" s="24">
        <v>15</v>
      </c>
      <c r="W19" s="28">
        <v>26</v>
      </c>
      <c r="X19" s="28">
        <v>78.8</v>
      </c>
      <c r="Y19" s="30">
        <v>2.1399176954732511</v>
      </c>
      <c r="Z19" s="30">
        <v>3.9321357285429142</v>
      </c>
      <c r="AA19" s="28">
        <v>518.86305504205473</v>
      </c>
      <c r="AB19" s="28">
        <v>557.18317999999999</v>
      </c>
      <c r="AC19" s="26">
        <v>0.93122526606430356</v>
      </c>
      <c r="AD19" s="26">
        <v>38.320124957945268</v>
      </c>
      <c r="AE19" s="57">
        <v>2.8427280046063648</v>
      </c>
    </row>
    <row r="20" spans="1:31" x14ac:dyDescent="0.3">
      <c r="A20" s="47">
        <v>33077</v>
      </c>
      <c r="B20" s="80" t="s">
        <v>62</v>
      </c>
      <c r="C20" s="7" t="s">
        <v>43</v>
      </c>
      <c r="D20" s="7" t="s">
        <v>49</v>
      </c>
      <c r="E20" s="7" t="s">
        <v>46</v>
      </c>
      <c r="F20" s="50">
        <v>16</v>
      </c>
      <c r="G20" s="17">
        <v>143.54</v>
      </c>
      <c r="H20" s="6">
        <v>178</v>
      </c>
      <c r="I20" s="56">
        <v>80.640449438202239</v>
      </c>
      <c r="J20" s="19">
        <v>2.62</v>
      </c>
      <c r="K20" s="18">
        <v>23.98</v>
      </c>
      <c r="L20" s="18">
        <v>489.38775510204079</v>
      </c>
      <c r="M20" s="20">
        <v>4.9000000000000004</v>
      </c>
      <c r="N20" s="20">
        <v>33.627888349999999</v>
      </c>
      <c r="O20" s="62">
        <v>1.9215936199999999</v>
      </c>
      <c r="P20" s="20">
        <v>13.54</v>
      </c>
      <c r="Q20" s="20">
        <v>406.3</v>
      </c>
      <c r="R20" s="20">
        <v>159.76776000000001</v>
      </c>
      <c r="S20" s="20">
        <v>29.926342710997439</v>
      </c>
      <c r="T20" s="21">
        <v>1.1701199999999998</v>
      </c>
      <c r="U20" s="20">
        <v>132.8707</v>
      </c>
      <c r="V20" s="6">
        <v>16</v>
      </c>
      <c r="W20" s="20">
        <v>26.4</v>
      </c>
      <c r="X20" s="20">
        <v>78.400000000000006</v>
      </c>
      <c r="Y20" s="22">
        <v>2.1728395061728398</v>
      </c>
      <c r="Z20" s="22">
        <v>3.9121756487025952</v>
      </c>
      <c r="AA20" s="20">
        <v>525.39911296791365</v>
      </c>
      <c r="AB20" s="20">
        <v>566.06776000000002</v>
      </c>
      <c r="AC20" s="18">
        <v>0.92815586771434155</v>
      </c>
      <c r="AD20" s="18">
        <v>40.668647032086369</v>
      </c>
      <c r="AE20" s="56">
        <v>2.6693499025740954</v>
      </c>
    </row>
    <row r="21" spans="1:31" x14ac:dyDescent="0.3">
      <c r="A21" s="47">
        <v>33077</v>
      </c>
      <c r="B21" s="80" t="s">
        <v>62</v>
      </c>
      <c r="C21" s="81" t="s">
        <v>43</v>
      </c>
      <c r="D21" s="81" t="s">
        <v>49</v>
      </c>
      <c r="E21" s="81" t="s">
        <v>47</v>
      </c>
      <c r="F21" s="50">
        <v>17</v>
      </c>
      <c r="G21" s="17">
        <v>124.63</v>
      </c>
      <c r="H21" s="31">
        <v>158</v>
      </c>
      <c r="I21" s="56">
        <v>78.879746835443029</v>
      </c>
      <c r="J21" s="19">
        <v>2.62</v>
      </c>
      <c r="K21" s="85">
        <v>23.47</v>
      </c>
      <c r="L21" s="85">
        <v>478.97959183673464</v>
      </c>
      <c r="M21" s="86">
        <v>4.4000000000000004</v>
      </c>
      <c r="N21" s="86">
        <v>28.665905600000002</v>
      </c>
      <c r="O21" s="62">
        <v>1.6380517485714288</v>
      </c>
      <c r="P21" s="86">
        <v>9.2424999999999997</v>
      </c>
      <c r="Q21" s="86">
        <v>390.65</v>
      </c>
      <c r="R21" s="86">
        <v>160.99223000000001</v>
      </c>
      <c r="S21" s="86">
        <v>29.315601023017901</v>
      </c>
      <c r="T21" s="87">
        <v>1.1462399999999999</v>
      </c>
      <c r="U21" s="86">
        <v>135.13120000000001</v>
      </c>
      <c r="V21" s="31">
        <v>17</v>
      </c>
      <c r="W21" s="86">
        <v>27.6</v>
      </c>
      <c r="X21" s="86">
        <v>79.599999999999994</v>
      </c>
      <c r="Y21" s="88">
        <v>2.2716049382716048</v>
      </c>
      <c r="Z21" s="88">
        <v>3.9720558882235526</v>
      </c>
      <c r="AA21" s="86">
        <v>514.53885368624765</v>
      </c>
      <c r="AB21" s="86">
        <v>551.64222999999993</v>
      </c>
      <c r="AC21" s="85">
        <v>0.93274014515938652</v>
      </c>
      <c r="AD21" s="85">
        <v>37.103376313752278</v>
      </c>
      <c r="AE21" s="56">
        <v>2.745845631368649</v>
      </c>
    </row>
    <row r="22" spans="1:31" x14ac:dyDescent="0.3">
      <c r="A22" s="47">
        <v>33084</v>
      </c>
      <c r="B22" s="80" t="s">
        <v>63</v>
      </c>
      <c r="C22" s="7" t="s">
        <v>43</v>
      </c>
      <c r="D22" s="7" t="s">
        <v>44</v>
      </c>
      <c r="E22" s="7" t="s">
        <v>45</v>
      </c>
      <c r="F22" s="50">
        <v>9</v>
      </c>
      <c r="G22" s="17">
        <v>139.71</v>
      </c>
      <c r="H22" s="6">
        <v>191</v>
      </c>
      <c r="I22" s="56">
        <v>73.146596858638745</v>
      </c>
      <c r="J22" s="19">
        <v>2.57</v>
      </c>
      <c r="K22" s="18">
        <v>22.28</v>
      </c>
      <c r="L22" s="18">
        <v>454.69387755102042</v>
      </c>
      <c r="M22" s="20">
        <v>6</v>
      </c>
      <c r="N22" s="20">
        <v>44.614359999999998</v>
      </c>
      <c r="O22" s="62">
        <v>2.5493919999999997</v>
      </c>
      <c r="P22" s="20">
        <v>26.324999999999999</v>
      </c>
      <c r="Q22" s="20">
        <v>391.2</v>
      </c>
      <c r="R22" s="20">
        <v>132.86514</v>
      </c>
      <c r="S22" s="20">
        <v>16.490025575447568</v>
      </c>
      <c r="T22" s="21">
        <v>0.64476</v>
      </c>
      <c r="U22" s="20">
        <v>106.96769999999999</v>
      </c>
      <c r="V22" s="6">
        <v>9</v>
      </c>
      <c r="W22" s="20">
        <v>26</v>
      </c>
      <c r="X22" s="20">
        <v>98.4</v>
      </c>
      <c r="Y22" s="22">
        <v>2.1399176954732511</v>
      </c>
      <c r="Z22" s="22">
        <v>4.9101796407185629</v>
      </c>
      <c r="AA22" s="20">
        <v>478.23400046265982</v>
      </c>
      <c r="AB22" s="20">
        <v>524.06513999999993</v>
      </c>
      <c r="AC22" s="18">
        <v>0.9125468648089432</v>
      </c>
      <c r="AD22" s="18">
        <v>45.831139537340107</v>
      </c>
      <c r="AE22" s="56">
        <v>4.0286517262237114</v>
      </c>
    </row>
    <row r="23" spans="1:31" x14ac:dyDescent="0.3">
      <c r="A23" s="47">
        <v>33084</v>
      </c>
      <c r="B23" s="80" t="s">
        <v>63</v>
      </c>
      <c r="C23" s="7" t="s">
        <v>43</v>
      </c>
      <c r="D23" s="7" t="s">
        <v>44</v>
      </c>
      <c r="E23" s="23" t="s">
        <v>46</v>
      </c>
      <c r="F23" s="52">
        <v>10</v>
      </c>
      <c r="G23" s="25">
        <v>126.06</v>
      </c>
      <c r="H23" s="24">
        <v>162</v>
      </c>
      <c r="I23" s="57">
        <v>77.81481481481481</v>
      </c>
      <c r="J23" s="27">
        <v>2.57</v>
      </c>
      <c r="K23" s="26">
        <v>22.58</v>
      </c>
      <c r="L23" s="26">
        <v>460.81632653061223</v>
      </c>
      <c r="M23" s="28">
        <v>5.4</v>
      </c>
      <c r="N23" s="28">
        <v>38.609788600000002</v>
      </c>
      <c r="O23" s="63">
        <v>2.2062736342857145</v>
      </c>
      <c r="P23" s="28">
        <v>21.672499999999999</v>
      </c>
      <c r="Q23" s="28">
        <v>393.15</v>
      </c>
      <c r="R23" s="28">
        <v>133.07503</v>
      </c>
      <c r="S23" s="28">
        <v>17.100767263427109</v>
      </c>
      <c r="T23" s="29">
        <v>0.66864000000000001</v>
      </c>
      <c r="U23" s="28">
        <v>107.0485</v>
      </c>
      <c r="V23" s="24">
        <v>10</v>
      </c>
      <c r="W23" s="28">
        <v>24</v>
      </c>
      <c r="X23" s="28">
        <v>86</v>
      </c>
      <c r="Y23" s="30">
        <v>1.9753086419753085</v>
      </c>
      <c r="Z23" s="30">
        <v>4.2914171656686628</v>
      </c>
      <c r="AA23" s="28">
        <v>484.1838196016833</v>
      </c>
      <c r="AB23" s="28">
        <v>526.22502999999995</v>
      </c>
      <c r="AC23" s="26">
        <v>0.92010792341383563</v>
      </c>
      <c r="AD23" s="26">
        <v>42.04121039831665</v>
      </c>
      <c r="AE23" s="57">
        <v>3.8909081665769323</v>
      </c>
    </row>
    <row r="24" spans="1:31" x14ac:dyDescent="0.3">
      <c r="A24" s="47">
        <v>33084</v>
      </c>
      <c r="B24" s="80" t="s">
        <v>63</v>
      </c>
      <c r="C24" s="7" t="s">
        <v>43</v>
      </c>
      <c r="D24" s="7" t="s">
        <v>44</v>
      </c>
      <c r="E24" s="7" t="s">
        <v>47</v>
      </c>
      <c r="F24" s="50">
        <v>11</v>
      </c>
      <c r="G24" s="17">
        <v>143.35</v>
      </c>
      <c r="H24" s="6">
        <v>177</v>
      </c>
      <c r="I24" s="56">
        <v>80.988700564971751</v>
      </c>
      <c r="J24" s="19">
        <v>2.6</v>
      </c>
      <c r="K24" s="18">
        <v>22.06</v>
      </c>
      <c r="L24" s="18">
        <v>450.20408163265301</v>
      </c>
      <c r="M24" s="20">
        <v>6.6</v>
      </c>
      <c r="N24" s="20">
        <v>50.647612599999995</v>
      </c>
      <c r="O24" s="62">
        <v>2.8941492914285711</v>
      </c>
      <c r="P24" s="20">
        <v>31.574999999999999</v>
      </c>
      <c r="Q24" s="20">
        <v>375.7</v>
      </c>
      <c r="R24" s="20">
        <v>138.91314</v>
      </c>
      <c r="S24" s="20">
        <v>20.154475703324806</v>
      </c>
      <c r="T24" s="21">
        <v>0.78803999999999996</v>
      </c>
      <c r="U24" s="20">
        <v>114.04179999999999</v>
      </c>
      <c r="V24" s="6">
        <v>11</v>
      </c>
      <c r="W24" s="20">
        <v>25.2</v>
      </c>
      <c r="X24" s="20">
        <v>84.4</v>
      </c>
      <c r="Y24" s="22">
        <v>2.074074074074074</v>
      </c>
      <c r="Z24" s="22">
        <v>4.211576846307385</v>
      </c>
      <c r="AA24" s="20">
        <v>476.64420825635926</v>
      </c>
      <c r="AB24" s="20">
        <v>514.61313999999993</v>
      </c>
      <c r="AC24" s="18">
        <v>0.92621849542427026</v>
      </c>
      <c r="AD24" s="18">
        <v>37.968931743640667</v>
      </c>
      <c r="AE24" s="56">
        <v>3.4462107088472669</v>
      </c>
    </row>
    <row r="25" spans="1:31" x14ac:dyDescent="0.3">
      <c r="A25" s="47">
        <v>33084</v>
      </c>
      <c r="B25" s="80" t="s">
        <v>63</v>
      </c>
      <c r="C25" s="7" t="s">
        <v>43</v>
      </c>
      <c r="D25" s="7" t="s">
        <v>48</v>
      </c>
      <c r="E25" s="7" t="s">
        <v>45</v>
      </c>
      <c r="F25" s="50">
        <v>12</v>
      </c>
      <c r="G25" s="17">
        <v>125.8</v>
      </c>
      <c r="H25" s="6">
        <v>155</v>
      </c>
      <c r="I25" s="56">
        <v>81.161290322580655</v>
      </c>
      <c r="J25" s="19">
        <v>2.64</v>
      </c>
      <c r="K25" s="18">
        <v>22.22</v>
      </c>
      <c r="L25" s="18">
        <v>453.46938775510205</v>
      </c>
      <c r="M25" s="20">
        <v>6.2</v>
      </c>
      <c r="N25" s="20">
        <v>46.622257399999995</v>
      </c>
      <c r="O25" s="62">
        <v>2.664128994285714</v>
      </c>
      <c r="P25" s="20">
        <v>27.55</v>
      </c>
      <c r="Q25" s="20">
        <v>379.65</v>
      </c>
      <c r="R25" s="20">
        <v>144.73123000000001</v>
      </c>
      <c r="S25" s="20">
        <v>27.686956521739134</v>
      </c>
      <c r="T25" s="21">
        <v>1.0825600000000002</v>
      </c>
      <c r="U25" s="20">
        <v>119.5984</v>
      </c>
      <c r="V25" s="6">
        <v>12</v>
      </c>
      <c r="W25" s="20">
        <v>26.8</v>
      </c>
      <c r="X25" s="20">
        <v>139.19999999999999</v>
      </c>
      <c r="Y25" s="22">
        <v>2.2057613168724282</v>
      </c>
      <c r="Z25" s="22">
        <v>6.9461077844311374</v>
      </c>
      <c r="AA25" s="20">
        <v>490.30821337814479</v>
      </c>
      <c r="AB25" s="20">
        <v>524.38123000000007</v>
      </c>
      <c r="AC25" s="18">
        <v>0.93502243277881003</v>
      </c>
      <c r="AD25" s="18">
        <v>34.073016621855288</v>
      </c>
      <c r="AE25" s="56">
        <v>2.6137078282035175</v>
      </c>
    </row>
    <row r="26" spans="1:31" x14ac:dyDescent="0.3">
      <c r="A26" s="47">
        <v>33084</v>
      </c>
      <c r="B26" s="80" t="s">
        <v>63</v>
      </c>
      <c r="C26" s="7" t="s">
        <v>43</v>
      </c>
      <c r="D26" s="7" t="s">
        <v>48</v>
      </c>
      <c r="E26" s="7" t="s">
        <v>46</v>
      </c>
      <c r="F26" s="50">
        <v>13</v>
      </c>
      <c r="G26" s="17">
        <v>145.88</v>
      </c>
      <c r="H26" s="6">
        <v>172</v>
      </c>
      <c r="I26" s="56">
        <v>84.813953488372093</v>
      </c>
      <c r="J26" s="19">
        <v>2.65</v>
      </c>
      <c r="K26" s="18">
        <v>20.62</v>
      </c>
      <c r="L26" s="18">
        <v>420.81632653061223</v>
      </c>
      <c r="M26" s="20">
        <v>6.2</v>
      </c>
      <c r="N26" s="20">
        <v>46.622257399999995</v>
      </c>
      <c r="O26" s="62">
        <v>2.664128994285714</v>
      </c>
      <c r="P26" s="20">
        <v>29.425000000000001</v>
      </c>
      <c r="Q26" s="20">
        <v>336.8</v>
      </c>
      <c r="R26" s="20">
        <v>146.50126</v>
      </c>
      <c r="S26" s="20">
        <v>29.51918158567775</v>
      </c>
      <c r="T26" s="21">
        <v>1.1542000000000001</v>
      </c>
      <c r="U26" s="20">
        <v>124.2051</v>
      </c>
      <c r="V26" s="6">
        <v>13</v>
      </c>
      <c r="W26" s="20">
        <v>28</v>
      </c>
      <c r="X26" s="20">
        <v>100</v>
      </c>
      <c r="Y26" s="22">
        <v>2.3045267489711931</v>
      </c>
      <c r="Z26" s="22">
        <v>4.9900199600798407</v>
      </c>
      <c r="AA26" s="20">
        <v>457.63005482534101</v>
      </c>
      <c r="AB26" s="20">
        <v>483.30126000000001</v>
      </c>
      <c r="AC26" s="18">
        <v>0.9468836369790159</v>
      </c>
      <c r="AD26" s="18">
        <v>25.671205174659008</v>
      </c>
      <c r="AE26" s="56">
        <v>2.4814587012649456</v>
      </c>
    </row>
    <row r="27" spans="1:31" x14ac:dyDescent="0.3">
      <c r="A27" s="47">
        <v>33084</v>
      </c>
      <c r="B27" s="80" t="s">
        <v>63</v>
      </c>
      <c r="C27" s="7" t="s">
        <v>43</v>
      </c>
      <c r="D27" s="7" t="s">
        <v>48</v>
      </c>
      <c r="E27" s="7" t="s">
        <v>47</v>
      </c>
      <c r="F27" s="50">
        <v>14</v>
      </c>
      <c r="G27" s="17">
        <v>161.19</v>
      </c>
      <c r="H27" s="6">
        <v>198</v>
      </c>
      <c r="I27" s="56">
        <v>81.409090909090907</v>
      </c>
      <c r="J27" s="19">
        <v>2.65</v>
      </c>
      <c r="K27" s="18">
        <v>20.6</v>
      </c>
      <c r="L27" s="18">
        <v>420.40816326530614</v>
      </c>
      <c r="M27" s="20">
        <v>6.2</v>
      </c>
      <c r="N27" s="20">
        <v>46.622257399999995</v>
      </c>
      <c r="O27" s="62">
        <v>2.664128994285714</v>
      </c>
      <c r="P27" s="20">
        <v>28.875</v>
      </c>
      <c r="Q27" s="20">
        <v>343.7</v>
      </c>
      <c r="R27" s="20">
        <v>145.75354000000002</v>
      </c>
      <c r="S27" s="20">
        <v>27.279795396419438</v>
      </c>
      <c r="T27" s="21">
        <v>1.06664</v>
      </c>
      <c r="U27" s="20">
        <v>123.00060000000001</v>
      </c>
      <c r="V27" s="6">
        <v>14</v>
      </c>
      <c r="W27" s="20">
        <v>25.2</v>
      </c>
      <c r="X27" s="20">
        <v>92</v>
      </c>
      <c r="Y27" s="22">
        <v>2.074074074074074</v>
      </c>
      <c r="Z27" s="22">
        <v>4.5908183632734536</v>
      </c>
      <c r="AA27" s="20">
        <v>454.35285109907312</v>
      </c>
      <c r="AB27" s="20">
        <v>489.45353999999998</v>
      </c>
      <c r="AC27" s="18">
        <v>0.9282859637690497</v>
      </c>
      <c r="AD27" s="18">
        <v>35.100688900926855</v>
      </c>
      <c r="AE27" s="56">
        <v>2.6714558867096678</v>
      </c>
    </row>
    <row r="28" spans="1:31" x14ac:dyDescent="0.3">
      <c r="A28" s="47">
        <v>33084</v>
      </c>
      <c r="B28" s="80" t="s">
        <v>63</v>
      </c>
      <c r="C28" s="7" t="s">
        <v>43</v>
      </c>
      <c r="D28" s="7" t="s">
        <v>49</v>
      </c>
      <c r="E28" s="7" t="s">
        <v>45</v>
      </c>
      <c r="F28" s="50">
        <v>15</v>
      </c>
      <c r="G28" s="17">
        <v>153.66999999999999</v>
      </c>
      <c r="H28" s="6">
        <v>181</v>
      </c>
      <c r="I28" s="56">
        <v>84.900552486187848</v>
      </c>
      <c r="J28" s="19">
        <v>2.63</v>
      </c>
      <c r="K28" s="18">
        <v>22.34</v>
      </c>
      <c r="L28" s="18">
        <v>455.91836734693874</v>
      </c>
      <c r="M28" s="20">
        <v>5.4</v>
      </c>
      <c r="N28" s="20">
        <v>38.609788600000002</v>
      </c>
      <c r="O28" s="62">
        <v>2.2062736342857145</v>
      </c>
      <c r="P28" s="20">
        <v>19.2925</v>
      </c>
      <c r="Q28" s="20">
        <v>383.2</v>
      </c>
      <c r="R28" s="20">
        <v>144.75844000000001</v>
      </c>
      <c r="S28" s="20">
        <v>29.112020460358053</v>
      </c>
      <c r="T28" s="21">
        <v>1.13828</v>
      </c>
      <c r="U28" s="20">
        <v>119.39060000000001</v>
      </c>
      <c r="V28" s="6">
        <v>15</v>
      </c>
      <c r="W28" s="20">
        <v>25.2</v>
      </c>
      <c r="X28" s="20">
        <v>90.4</v>
      </c>
      <c r="Y28" s="22">
        <v>2.074074074074074</v>
      </c>
      <c r="Z28" s="22">
        <v>4.5109780439121758</v>
      </c>
      <c r="AA28" s="20">
        <v>491.61543992528306</v>
      </c>
      <c r="AB28" s="20">
        <v>527.95844</v>
      </c>
      <c r="AC28" s="18">
        <v>0.93116314216945384</v>
      </c>
      <c r="AD28" s="18">
        <v>36.34300007471694</v>
      </c>
      <c r="AE28" s="56">
        <v>2.4862314210914715</v>
      </c>
    </row>
    <row r="29" spans="1:31" x14ac:dyDescent="0.3">
      <c r="A29" s="47">
        <v>33084</v>
      </c>
      <c r="B29" s="80" t="s">
        <v>63</v>
      </c>
      <c r="C29" s="7" t="s">
        <v>43</v>
      </c>
      <c r="D29" s="7" t="s">
        <v>49</v>
      </c>
      <c r="E29" s="7" t="s">
        <v>46</v>
      </c>
      <c r="F29" s="50">
        <v>16</v>
      </c>
      <c r="G29" s="17">
        <v>148.69999999999999</v>
      </c>
      <c r="H29" s="6">
        <v>165</v>
      </c>
      <c r="I29" s="56">
        <v>90.12121212121211</v>
      </c>
      <c r="J29" s="19">
        <v>2.73</v>
      </c>
      <c r="K29" s="18">
        <v>20.18</v>
      </c>
      <c r="L29" s="18">
        <v>411.83673469387753</v>
      </c>
      <c r="M29" s="20">
        <v>6.9</v>
      </c>
      <c r="N29" s="20">
        <v>53.674994349999999</v>
      </c>
      <c r="O29" s="62">
        <v>3.0671425342857144</v>
      </c>
      <c r="P29" s="20">
        <v>37</v>
      </c>
      <c r="Q29" s="20">
        <v>340.05</v>
      </c>
      <c r="R29" s="20">
        <v>142.74591000000001</v>
      </c>
      <c r="S29" s="20">
        <v>35.219437340153448</v>
      </c>
      <c r="T29" s="21">
        <v>1.3770799999999999</v>
      </c>
      <c r="U29" s="20">
        <v>120.2346</v>
      </c>
      <c r="V29" s="6">
        <v>16</v>
      </c>
      <c r="W29" s="20">
        <v>28</v>
      </c>
      <c r="X29" s="20">
        <v>92</v>
      </c>
      <c r="Y29" s="22">
        <v>2.3045267489711931</v>
      </c>
      <c r="Z29" s="22">
        <v>4.5908183632734536</v>
      </c>
      <c r="AA29" s="20">
        <v>453.95151714627559</v>
      </c>
      <c r="AB29" s="20">
        <v>482.79591000000005</v>
      </c>
      <c r="AC29" s="18">
        <v>0.94025551530930651</v>
      </c>
      <c r="AD29" s="18">
        <v>28.844392853724457</v>
      </c>
      <c r="AE29" s="56">
        <v>2.0265217274958611</v>
      </c>
    </row>
    <row r="30" spans="1:31" x14ac:dyDescent="0.3">
      <c r="A30" s="47">
        <v>33084</v>
      </c>
      <c r="B30" s="80" t="s">
        <v>63</v>
      </c>
      <c r="C30" s="81" t="s">
        <v>43</v>
      </c>
      <c r="D30" s="81" t="s">
        <v>49</v>
      </c>
      <c r="E30" s="81" t="s">
        <v>47</v>
      </c>
      <c r="F30" s="50">
        <v>17</v>
      </c>
      <c r="G30" s="17">
        <v>135.16</v>
      </c>
      <c r="H30" s="31">
        <v>159</v>
      </c>
      <c r="I30" s="56">
        <v>85.006289308176093</v>
      </c>
      <c r="J30" s="19">
        <v>2.69</v>
      </c>
      <c r="K30" s="85">
        <v>20.13</v>
      </c>
      <c r="L30" s="85">
        <v>410.81632653061223</v>
      </c>
      <c r="M30" s="86">
        <v>6.3</v>
      </c>
      <c r="N30" s="86">
        <v>47.627401149999997</v>
      </c>
      <c r="O30" s="62">
        <v>2.7215657799999997</v>
      </c>
      <c r="P30" s="86">
        <v>30.175000000000001</v>
      </c>
      <c r="Q30" s="86">
        <v>328.15</v>
      </c>
      <c r="R30" s="86">
        <v>148.37772999999999</v>
      </c>
      <c r="S30" s="86">
        <v>34.405115089514062</v>
      </c>
      <c r="T30" s="87">
        <v>1.34524</v>
      </c>
      <c r="U30" s="86">
        <v>126.6542</v>
      </c>
      <c r="V30" s="31">
        <v>17</v>
      </c>
      <c r="W30" s="86">
        <v>27.6</v>
      </c>
      <c r="X30" s="86">
        <v>88.8</v>
      </c>
      <c r="Y30" s="88">
        <v>2.2716049382716048</v>
      </c>
      <c r="Z30" s="88">
        <v>4.4311377245508989</v>
      </c>
      <c r="AA30" s="86">
        <v>451.92418428294883</v>
      </c>
      <c r="AB30" s="86">
        <v>476.52772999999996</v>
      </c>
      <c r="AC30" s="85">
        <v>0.94836912068674128</v>
      </c>
      <c r="AD30" s="85">
        <v>24.603545717051134</v>
      </c>
      <c r="AE30" s="56">
        <v>2.156332417635515</v>
      </c>
    </row>
    <row r="31" spans="1:31" x14ac:dyDescent="0.3">
      <c r="A31" s="47">
        <v>33091</v>
      </c>
      <c r="B31" s="80" t="s">
        <v>64</v>
      </c>
      <c r="C31" s="7" t="s">
        <v>43</v>
      </c>
      <c r="D31" s="7" t="s">
        <v>44</v>
      </c>
      <c r="E31" s="7" t="s">
        <v>45</v>
      </c>
      <c r="F31" s="50">
        <v>9</v>
      </c>
      <c r="G31" s="17">
        <v>164.16</v>
      </c>
      <c r="H31" s="6">
        <v>183</v>
      </c>
      <c r="I31" s="56">
        <v>89.704918032786878</v>
      </c>
      <c r="J31" s="19">
        <v>2.69</v>
      </c>
      <c r="K31" s="18">
        <v>17.84</v>
      </c>
      <c r="L31" s="18">
        <v>364.08163265306121</v>
      </c>
      <c r="M31" s="20">
        <v>8.8000000000000007</v>
      </c>
      <c r="N31" s="20">
        <v>73.014922400000017</v>
      </c>
      <c r="O31" s="62">
        <v>4.1722812800000009</v>
      </c>
      <c r="P31" s="20">
        <v>65.8322</v>
      </c>
      <c r="Q31" s="20">
        <v>304.3</v>
      </c>
      <c r="R31" s="20">
        <v>118.34746</v>
      </c>
      <c r="S31" s="20">
        <v>19.543734015345269</v>
      </c>
      <c r="T31" s="21">
        <v>0.76415999999999995</v>
      </c>
      <c r="U31" s="20">
        <v>98.202799999999996</v>
      </c>
      <c r="V31" s="6">
        <v>9</v>
      </c>
      <c r="W31" s="20">
        <v>25.2</v>
      </c>
      <c r="X31" s="20">
        <v>64.400000000000006</v>
      </c>
      <c r="Y31" s="22">
        <v>2.074074074074074</v>
      </c>
      <c r="Z31" s="22">
        <v>3.2135728542914177</v>
      </c>
      <c r="AA31" s="20">
        <v>388.91301359677198</v>
      </c>
      <c r="AB31" s="20">
        <v>422.64746000000002</v>
      </c>
      <c r="AC31" s="18">
        <v>0.92018301398705193</v>
      </c>
      <c r="AD31" s="18">
        <v>33.734446403228048</v>
      </c>
      <c r="AE31" s="56">
        <v>3.027759687761725</v>
      </c>
    </row>
    <row r="32" spans="1:31" ht="15" thickBot="1" x14ac:dyDescent="0.35">
      <c r="A32" s="82">
        <v>33091</v>
      </c>
      <c r="B32" s="79" t="s">
        <v>64</v>
      </c>
      <c r="C32" s="32" t="s">
        <v>43</v>
      </c>
      <c r="D32" s="32" t="s">
        <v>44</v>
      </c>
      <c r="E32" s="32" t="s">
        <v>46</v>
      </c>
      <c r="F32" s="51">
        <v>10</v>
      </c>
      <c r="G32" s="39">
        <v>158.13999999999999</v>
      </c>
      <c r="H32" s="33">
        <v>174</v>
      </c>
      <c r="I32" s="58">
        <v>90.885057471264361</v>
      </c>
      <c r="J32" s="41">
        <v>2.69</v>
      </c>
      <c r="K32" s="40">
        <v>18.25</v>
      </c>
      <c r="L32" s="40">
        <v>372.44897959183675</v>
      </c>
      <c r="M32" s="42">
        <v>8.1</v>
      </c>
      <c r="N32" s="42">
        <v>65.856224349999991</v>
      </c>
      <c r="O32" s="64">
        <v>3.7632128199999997</v>
      </c>
      <c r="P32" s="42">
        <v>57.608800000000002</v>
      </c>
      <c r="Q32" s="42">
        <v>311.45</v>
      </c>
      <c r="R32" s="42">
        <v>122.41938999999999</v>
      </c>
      <c r="S32" s="42">
        <v>19.747314578005113</v>
      </c>
      <c r="T32" s="43">
        <v>0.77212000000000003</v>
      </c>
      <c r="U32" s="42">
        <v>101.8014</v>
      </c>
      <c r="V32" s="33">
        <v>10</v>
      </c>
      <c r="W32" s="42">
        <v>24</v>
      </c>
      <c r="X32" s="42">
        <v>62.8</v>
      </c>
      <c r="Y32" s="44">
        <v>1.9753086419753085</v>
      </c>
      <c r="Z32" s="44">
        <v>3.1337325349301399</v>
      </c>
      <c r="AA32" s="42">
        <v>397.30533534674726</v>
      </c>
      <c r="AB32" s="42">
        <v>433.86938999999995</v>
      </c>
      <c r="AC32" s="40">
        <v>0.91572566422984414</v>
      </c>
      <c r="AD32" s="40">
        <v>36.564054653252697</v>
      </c>
      <c r="AE32" s="58">
        <v>3.0996465245039633</v>
      </c>
    </row>
    <row r="33" spans="1:31" ht="15" thickTop="1" x14ac:dyDescent="0.3">
      <c r="A33" s="48">
        <v>33091</v>
      </c>
      <c r="B33" s="80" t="s">
        <v>64</v>
      </c>
      <c r="C33" s="7" t="s">
        <v>43</v>
      </c>
      <c r="D33" s="7" t="s">
        <v>44</v>
      </c>
      <c r="E33" s="7" t="s">
        <v>47</v>
      </c>
      <c r="F33" s="49">
        <v>11</v>
      </c>
      <c r="G33" s="14">
        <v>169.05</v>
      </c>
      <c r="H33" s="2">
        <v>183</v>
      </c>
      <c r="I33" s="55">
        <v>92.377049180327873</v>
      </c>
      <c r="J33" s="15">
        <v>2.75</v>
      </c>
      <c r="K33" s="13">
        <v>16.48</v>
      </c>
      <c r="L33" s="13">
        <v>336.32653061224494</v>
      </c>
      <c r="M33" s="4">
        <v>9.3000000000000007</v>
      </c>
      <c r="N33" s="4">
        <v>78.152179150000009</v>
      </c>
      <c r="O33" s="61">
        <v>4.4658388085714291</v>
      </c>
      <c r="P33" s="4">
        <v>72.796300000000002</v>
      </c>
      <c r="Q33" s="4">
        <v>267.25</v>
      </c>
      <c r="R33" s="4">
        <v>125.33255</v>
      </c>
      <c r="S33" s="4">
        <v>23.818925831202044</v>
      </c>
      <c r="T33" s="16">
        <v>0.93131999999999993</v>
      </c>
      <c r="U33" s="4">
        <v>107.64060000000001</v>
      </c>
      <c r="V33" s="2">
        <v>11</v>
      </c>
      <c r="W33" s="4">
        <v>25.6</v>
      </c>
      <c r="X33" s="4">
        <v>56.8</v>
      </c>
      <c r="Y33" s="5">
        <v>2.1069958847736627</v>
      </c>
      <c r="Z33" s="5">
        <v>2.8343313373253491</v>
      </c>
      <c r="AA33" s="4">
        <v>365.08678366554597</v>
      </c>
      <c r="AB33" s="4">
        <v>392.58254999999997</v>
      </c>
      <c r="AC33" s="13">
        <v>0.92996182246395309</v>
      </c>
      <c r="AD33" s="13">
        <v>27.495766334454004</v>
      </c>
      <c r="AE33" s="55">
        <v>2.6309446296654211</v>
      </c>
    </row>
    <row r="34" spans="1:31" x14ac:dyDescent="0.3">
      <c r="A34" s="47">
        <v>33091</v>
      </c>
      <c r="B34" s="80" t="s">
        <v>64</v>
      </c>
      <c r="C34" s="3" t="s">
        <v>43</v>
      </c>
      <c r="D34" s="3" t="s">
        <v>48</v>
      </c>
      <c r="E34" s="7" t="s">
        <v>45</v>
      </c>
      <c r="F34" s="50">
        <v>12</v>
      </c>
      <c r="G34" s="17">
        <v>149.12</v>
      </c>
      <c r="H34" s="6">
        <v>155</v>
      </c>
      <c r="I34" s="56">
        <v>96.206451612903237</v>
      </c>
      <c r="J34" s="19">
        <v>2.77</v>
      </c>
      <c r="K34" s="18">
        <v>16.850000000000001</v>
      </c>
      <c r="L34" s="18">
        <v>343.87755102040819</v>
      </c>
      <c r="M34" s="20">
        <v>8.8000000000000007</v>
      </c>
      <c r="N34" s="20">
        <v>73.014922400000017</v>
      </c>
      <c r="O34" s="62">
        <v>4.1722812800000009</v>
      </c>
      <c r="P34" s="20">
        <v>65.520600000000002</v>
      </c>
      <c r="Q34" s="20">
        <v>273.05</v>
      </c>
      <c r="R34" s="20">
        <v>136.01891000000001</v>
      </c>
      <c r="S34" s="20">
        <v>33.387212276214825</v>
      </c>
      <c r="T34" s="21">
        <v>1.3054399999999999</v>
      </c>
      <c r="U34" s="20">
        <v>117.943</v>
      </c>
      <c r="V34" s="6">
        <v>12</v>
      </c>
      <c r="W34" s="20">
        <v>28</v>
      </c>
      <c r="X34" s="20">
        <v>68</v>
      </c>
      <c r="Y34" s="22">
        <v>2.3045267489711931</v>
      </c>
      <c r="Z34" s="22">
        <v>3.3932135728542914</v>
      </c>
      <c r="AA34" s="20">
        <v>382.96250361844847</v>
      </c>
      <c r="AB34" s="20">
        <v>409.06891000000002</v>
      </c>
      <c r="AC34" s="18">
        <v>0.93618090804908261</v>
      </c>
      <c r="AD34" s="18">
        <v>26.106406381551551</v>
      </c>
      <c r="AE34" s="56">
        <v>2.0369911221503867</v>
      </c>
    </row>
    <row r="35" spans="1:31" x14ac:dyDescent="0.3">
      <c r="A35" s="47">
        <v>33091</v>
      </c>
      <c r="B35" s="80" t="s">
        <v>64</v>
      </c>
      <c r="C35" s="3" t="s">
        <v>43</v>
      </c>
      <c r="D35" s="7" t="s">
        <v>48</v>
      </c>
      <c r="E35" s="7" t="s">
        <v>46</v>
      </c>
      <c r="F35" s="50">
        <v>13</v>
      </c>
      <c r="G35" s="17">
        <v>173.9</v>
      </c>
      <c r="H35" s="6">
        <v>181</v>
      </c>
      <c r="I35" s="56">
        <v>96.077348066298342</v>
      </c>
      <c r="J35" s="19">
        <v>2.87</v>
      </c>
      <c r="K35" s="18">
        <v>14.04</v>
      </c>
      <c r="L35" s="18">
        <v>286.53061224489795</v>
      </c>
      <c r="M35" s="20">
        <v>9.3000000000000007</v>
      </c>
      <c r="N35" s="20">
        <v>78.152179150000009</v>
      </c>
      <c r="O35" s="62">
        <v>4.4658388085714291</v>
      </c>
      <c r="P35" s="20">
        <v>75.279799999999994</v>
      </c>
      <c r="Q35" s="20">
        <v>213.25</v>
      </c>
      <c r="R35" s="20">
        <v>129.06565000000001</v>
      </c>
      <c r="S35" s="20">
        <v>37.458823529411767</v>
      </c>
      <c r="T35" s="21">
        <v>1.4646400000000002</v>
      </c>
      <c r="U35" s="20">
        <v>114.9485</v>
      </c>
      <c r="V35" s="6">
        <v>13</v>
      </c>
      <c r="W35" s="20">
        <v>30</v>
      </c>
      <c r="X35" s="20">
        <v>74.8</v>
      </c>
      <c r="Y35" s="22">
        <v>2.4691358024691357</v>
      </c>
      <c r="Z35" s="22">
        <v>3.7325349301397215</v>
      </c>
      <c r="AA35" s="20">
        <v>330.19110650691852</v>
      </c>
      <c r="AB35" s="20">
        <v>342.31565000000001</v>
      </c>
      <c r="AC35" s="18">
        <v>0.96458080869781593</v>
      </c>
      <c r="AD35" s="18">
        <v>12.124543493081489</v>
      </c>
      <c r="AE35" s="56">
        <v>1.722766999057789</v>
      </c>
    </row>
    <row r="36" spans="1:31" x14ac:dyDescent="0.3">
      <c r="A36" s="47">
        <v>33091</v>
      </c>
      <c r="B36" s="80" t="s">
        <v>64</v>
      </c>
      <c r="C36" s="3" t="s">
        <v>43</v>
      </c>
      <c r="D36" s="7" t="s">
        <v>48</v>
      </c>
      <c r="E36" s="23" t="s">
        <v>47</v>
      </c>
      <c r="F36" s="52">
        <v>14</v>
      </c>
      <c r="G36" s="25">
        <v>182.57</v>
      </c>
      <c r="H36" s="24">
        <v>196</v>
      </c>
      <c r="I36" s="57">
        <v>93.147959183673464</v>
      </c>
      <c r="J36" s="27">
        <v>2.82</v>
      </c>
      <c r="K36" s="26">
        <v>15.4</v>
      </c>
      <c r="L36" s="26">
        <v>314.28571428571428</v>
      </c>
      <c r="M36" s="28">
        <v>8.9</v>
      </c>
      <c r="N36" s="28">
        <v>74.040780350000006</v>
      </c>
      <c r="O36" s="63">
        <v>4.2309017342857143</v>
      </c>
      <c r="P36" s="28">
        <v>69.063999999999993</v>
      </c>
      <c r="Q36" s="28">
        <v>242.35</v>
      </c>
      <c r="R36" s="28">
        <v>132.77136999999999</v>
      </c>
      <c r="S36" s="28">
        <v>33.183631713554988</v>
      </c>
      <c r="T36" s="29">
        <v>1.29748</v>
      </c>
      <c r="U36" s="28">
        <v>116.7278</v>
      </c>
      <c r="V36" s="24">
        <v>14</v>
      </c>
      <c r="W36" s="28">
        <v>26.8</v>
      </c>
      <c r="X36" s="28">
        <v>69.2</v>
      </c>
      <c r="Y36" s="30">
        <v>2.2057613168724282</v>
      </c>
      <c r="Z36" s="30">
        <v>3.4530938123752497</v>
      </c>
      <c r="AA36" s="28">
        <v>353.12820112851693</v>
      </c>
      <c r="AB36" s="28">
        <v>375.12136999999996</v>
      </c>
      <c r="AC36" s="26">
        <v>0.94137052530096321</v>
      </c>
      <c r="AD36" s="26">
        <v>21.993168871483022</v>
      </c>
      <c r="AE36" s="57">
        <v>2.0005551403489839</v>
      </c>
    </row>
    <row r="37" spans="1:31" x14ac:dyDescent="0.3">
      <c r="A37" s="47">
        <v>33091</v>
      </c>
      <c r="B37" s="80" t="s">
        <v>64</v>
      </c>
      <c r="C37" s="7" t="s">
        <v>43</v>
      </c>
      <c r="D37" s="7" t="s">
        <v>49</v>
      </c>
      <c r="E37" s="7" t="s">
        <v>45</v>
      </c>
      <c r="F37" s="50">
        <v>15</v>
      </c>
      <c r="G37" s="17">
        <v>166.06</v>
      </c>
      <c r="H37" s="6">
        <v>171</v>
      </c>
      <c r="I37" s="56">
        <v>97.111111111111114</v>
      </c>
      <c r="J37" s="19">
        <v>2.79</v>
      </c>
      <c r="K37" s="18">
        <v>17.12</v>
      </c>
      <c r="L37" s="18">
        <v>349.38775510204084</v>
      </c>
      <c r="M37" s="20">
        <v>8</v>
      </c>
      <c r="N37" s="20">
        <v>64.836740000000006</v>
      </c>
      <c r="O37" s="62">
        <v>3.7049565714285717</v>
      </c>
      <c r="P37" s="20">
        <v>56.733600000000003</v>
      </c>
      <c r="Q37" s="20">
        <v>288.10000000000002</v>
      </c>
      <c r="R37" s="20">
        <v>130.14872</v>
      </c>
      <c r="S37" s="20">
        <v>36.644501278772374</v>
      </c>
      <c r="T37" s="21">
        <v>1.4327999999999999</v>
      </c>
      <c r="U37" s="20">
        <v>111.0765</v>
      </c>
      <c r="V37" s="6">
        <v>15</v>
      </c>
      <c r="W37" s="20">
        <v>27.6</v>
      </c>
      <c r="X37" s="20">
        <v>76</v>
      </c>
      <c r="Y37" s="22">
        <v>2.2716049382716048</v>
      </c>
      <c r="Z37" s="22">
        <v>3.7924151696606789</v>
      </c>
      <c r="AA37" s="20">
        <v>392.0962764887455</v>
      </c>
      <c r="AB37" s="20">
        <v>418.24871999999993</v>
      </c>
      <c r="AC37" s="18">
        <v>0.93747155158955553</v>
      </c>
      <c r="AD37" s="18">
        <v>26.152443511254432</v>
      </c>
      <c r="AE37" s="56">
        <v>1.7758287800111672</v>
      </c>
    </row>
    <row r="38" spans="1:31" x14ac:dyDescent="0.3">
      <c r="A38" s="47">
        <v>33091</v>
      </c>
      <c r="B38" s="80" t="s">
        <v>64</v>
      </c>
      <c r="C38" s="81" t="s">
        <v>43</v>
      </c>
      <c r="D38" s="81" t="s">
        <v>49</v>
      </c>
      <c r="E38" s="81" t="s">
        <v>46</v>
      </c>
      <c r="F38" s="50">
        <v>16</v>
      </c>
      <c r="G38" s="17">
        <v>172.14</v>
      </c>
      <c r="H38" s="6">
        <v>169</v>
      </c>
      <c r="I38" s="56">
        <v>101.85798816568045</v>
      </c>
      <c r="J38" s="19">
        <v>2.87</v>
      </c>
      <c r="K38" s="18">
        <v>14.69</v>
      </c>
      <c r="L38" s="18">
        <v>299.79591836734693</v>
      </c>
      <c r="M38" s="20">
        <v>9.5</v>
      </c>
      <c r="N38" s="20">
        <v>80.212658750000003</v>
      </c>
      <c r="O38" s="62">
        <v>4.5835805000000001</v>
      </c>
      <c r="P38" s="20">
        <v>75.127700000000004</v>
      </c>
      <c r="Q38" s="20">
        <v>228.2</v>
      </c>
      <c r="R38" s="20">
        <v>131.96464</v>
      </c>
      <c r="S38" s="20">
        <v>40.512531969309464</v>
      </c>
      <c r="T38" s="21">
        <v>1.5840399999999999</v>
      </c>
      <c r="U38" s="20">
        <v>116.8578</v>
      </c>
      <c r="V38" s="6">
        <v>16</v>
      </c>
      <c r="W38" s="20">
        <v>28.4</v>
      </c>
      <c r="X38" s="20">
        <v>64.8</v>
      </c>
      <c r="Y38" s="22">
        <v>2.3374485596707819</v>
      </c>
      <c r="Z38" s="22">
        <v>3.2335329341317371</v>
      </c>
      <c r="AA38" s="20">
        <v>345.87943183045894</v>
      </c>
      <c r="AB38" s="20">
        <v>360.16463999999996</v>
      </c>
      <c r="AC38" s="18">
        <v>0.96033700540524736</v>
      </c>
      <c r="AD38" s="18">
        <v>14.285208169541022</v>
      </c>
      <c r="AE38" s="56">
        <v>1.6286891189616424</v>
      </c>
    </row>
    <row r="39" spans="1:31" x14ac:dyDescent="0.3">
      <c r="A39" s="47">
        <v>33091</v>
      </c>
      <c r="B39" s="80" t="s">
        <v>64</v>
      </c>
      <c r="C39" s="81" t="s">
        <v>43</v>
      </c>
      <c r="D39" s="81" t="s">
        <v>49</v>
      </c>
      <c r="E39" s="81" t="s">
        <v>47</v>
      </c>
      <c r="F39" s="50">
        <v>17</v>
      </c>
      <c r="G39" s="17">
        <v>159.57</v>
      </c>
      <c r="H39" s="31">
        <v>176</v>
      </c>
      <c r="I39" s="56">
        <v>90.66477272727272</v>
      </c>
      <c r="J39" s="19">
        <v>2.87</v>
      </c>
      <c r="K39" s="85">
        <v>14.63</v>
      </c>
      <c r="L39" s="85">
        <v>298.57142857142861</v>
      </c>
      <c r="M39" s="86">
        <v>8.8000000000000007</v>
      </c>
      <c r="N39" s="86">
        <v>73.014922400000017</v>
      </c>
      <c r="O39" s="62">
        <v>4.1722812800000009</v>
      </c>
      <c r="P39" s="86">
        <v>67.628799999999998</v>
      </c>
      <c r="Q39" s="86">
        <v>221.9</v>
      </c>
      <c r="R39" s="86">
        <v>138.03208000000001</v>
      </c>
      <c r="S39" s="86">
        <v>41.326854219948842</v>
      </c>
      <c r="T39" s="87">
        <v>1.61588</v>
      </c>
      <c r="U39" s="86">
        <v>123.34229999999999</v>
      </c>
      <c r="V39" s="31">
        <v>17</v>
      </c>
      <c r="W39" s="86">
        <v>30.8</v>
      </c>
      <c r="X39" s="86">
        <v>80</v>
      </c>
      <c r="Y39" s="88">
        <v>2.5349794238683128</v>
      </c>
      <c r="Z39" s="88">
        <v>3.9920159680638725</v>
      </c>
      <c r="AA39" s="86">
        <v>346.42527818330967</v>
      </c>
      <c r="AB39" s="86">
        <v>359.93208000000004</v>
      </c>
      <c r="AC39" s="85">
        <v>0.96247402616435196</v>
      </c>
      <c r="AD39" s="85">
        <v>13.50680181669037</v>
      </c>
      <c r="AE39" s="56">
        <v>1.6700046810406717</v>
      </c>
    </row>
    <row r="40" spans="1:31" x14ac:dyDescent="0.3">
      <c r="A40" s="47">
        <v>33098</v>
      </c>
      <c r="B40" s="80" t="s">
        <v>65</v>
      </c>
      <c r="C40" s="7" t="s">
        <v>43</v>
      </c>
      <c r="D40" s="7" t="s">
        <v>44</v>
      </c>
      <c r="E40" s="23" t="s">
        <v>45</v>
      </c>
      <c r="F40" s="52">
        <v>9</v>
      </c>
      <c r="G40" s="25">
        <v>164.87</v>
      </c>
      <c r="H40" s="24">
        <v>174</v>
      </c>
      <c r="I40" s="57">
        <v>94.752873563218401</v>
      </c>
      <c r="J40" s="27">
        <v>2.82</v>
      </c>
      <c r="K40" s="26">
        <v>14.3</v>
      </c>
      <c r="L40" s="26">
        <v>291.83673469387753</v>
      </c>
      <c r="M40" s="28">
        <v>12.3</v>
      </c>
      <c r="N40" s="28">
        <v>109.39398715</v>
      </c>
      <c r="O40" s="63">
        <v>6.2510849799999999</v>
      </c>
      <c r="P40" s="28">
        <v>109.22320000000001</v>
      </c>
      <c r="Q40" s="28">
        <v>225.3</v>
      </c>
      <c r="R40" s="28">
        <v>108.68506000000001</v>
      </c>
      <c r="S40" s="28">
        <v>20.765217391304347</v>
      </c>
      <c r="T40" s="29">
        <v>0.81191999999999998</v>
      </c>
      <c r="U40" s="28">
        <v>93.770200000000003</v>
      </c>
      <c r="V40" s="24">
        <v>9</v>
      </c>
      <c r="W40" s="28">
        <v>28</v>
      </c>
      <c r="X40" s="28">
        <v>58.8</v>
      </c>
      <c r="Y40" s="30">
        <v>2.3045267489711931</v>
      </c>
      <c r="Z40" s="30">
        <v>2.9341317365269459</v>
      </c>
      <c r="AA40" s="28">
        <v>317.84061057067998</v>
      </c>
      <c r="AB40" s="28">
        <v>333.98506000000003</v>
      </c>
      <c r="AC40" s="26">
        <v>0.95166116283967894</v>
      </c>
      <c r="AD40" s="26">
        <v>16.144449429320048</v>
      </c>
      <c r="AE40" s="57">
        <v>2.6169978852596318</v>
      </c>
    </row>
    <row r="41" spans="1:31" x14ac:dyDescent="0.3">
      <c r="A41" s="47">
        <v>33098</v>
      </c>
      <c r="B41" s="80" t="s">
        <v>65</v>
      </c>
      <c r="C41" s="7" t="s">
        <v>43</v>
      </c>
      <c r="D41" s="7" t="s">
        <v>44</v>
      </c>
      <c r="E41" s="7" t="s">
        <v>46</v>
      </c>
      <c r="F41" s="50">
        <v>10</v>
      </c>
      <c r="G41" s="17">
        <v>187.02</v>
      </c>
      <c r="H41" s="6">
        <v>181</v>
      </c>
      <c r="I41" s="56">
        <v>103.32596685082873</v>
      </c>
      <c r="J41" s="19">
        <v>2.84</v>
      </c>
      <c r="K41" s="18">
        <v>13.82</v>
      </c>
      <c r="L41" s="18">
        <v>282.0408163265306</v>
      </c>
      <c r="M41" s="20">
        <v>12.5</v>
      </c>
      <c r="N41" s="20">
        <v>111.50226875</v>
      </c>
      <c r="O41" s="62">
        <v>6.3715582142857139</v>
      </c>
      <c r="P41" s="20">
        <v>110.43819999999999</v>
      </c>
      <c r="Q41" s="20">
        <v>213.25</v>
      </c>
      <c r="R41" s="20">
        <v>109.67444999999999</v>
      </c>
      <c r="S41" s="20">
        <v>23.004603580562655</v>
      </c>
      <c r="T41" s="21">
        <v>0.89947999999999995</v>
      </c>
      <c r="U41" s="20">
        <v>95.557299999999998</v>
      </c>
      <c r="V41" s="6">
        <v>10</v>
      </c>
      <c r="W41" s="20">
        <v>29.6</v>
      </c>
      <c r="X41" s="20">
        <v>58</v>
      </c>
      <c r="Y41" s="22">
        <v>2.4362139917695473</v>
      </c>
      <c r="Z41" s="22">
        <v>2.8942115768463075</v>
      </c>
      <c r="AA41" s="20">
        <v>310.37584547570913</v>
      </c>
      <c r="AB41" s="20">
        <v>322.92444999999998</v>
      </c>
      <c r="AC41" s="18">
        <v>0.96114074197760235</v>
      </c>
      <c r="AD41" s="18">
        <v>12.548604524290852</v>
      </c>
      <c r="AE41" s="56">
        <v>2.3837500528082898</v>
      </c>
    </row>
    <row r="42" spans="1:31" x14ac:dyDescent="0.3">
      <c r="A42" s="47">
        <v>33098</v>
      </c>
      <c r="B42" s="80" t="s">
        <v>65</v>
      </c>
      <c r="C42" s="7" t="s">
        <v>43</v>
      </c>
      <c r="D42" s="7" t="s">
        <v>44</v>
      </c>
      <c r="E42" s="7" t="s">
        <v>47</v>
      </c>
      <c r="F42" s="50">
        <v>11</v>
      </c>
      <c r="G42" s="17">
        <v>187</v>
      </c>
      <c r="H42" s="6">
        <v>179</v>
      </c>
      <c r="I42" s="56">
        <v>104.46927374301676</v>
      </c>
      <c r="J42" s="19">
        <v>2.91</v>
      </c>
      <c r="K42" s="18">
        <v>12.18</v>
      </c>
      <c r="L42" s="18">
        <v>248.57142857142856</v>
      </c>
      <c r="M42" s="20">
        <v>13.3</v>
      </c>
      <c r="N42" s="20">
        <v>119.96726314999999</v>
      </c>
      <c r="O42" s="62">
        <v>6.85527218</v>
      </c>
      <c r="P42" s="20">
        <v>122.0119</v>
      </c>
      <c r="Q42" s="20">
        <v>171.55</v>
      </c>
      <c r="R42" s="20">
        <v>117.68731</v>
      </c>
      <c r="S42" s="20">
        <v>27.890537084398975</v>
      </c>
      <c r="T42" s="21">
        <v>1.0905199999999999</v>
      </c>
      <c r="U42" s="20">
        <v>106.33069999999999</v>
      </c>
      <c r="V42" s="6">
        <v>11</v>
      </c>
      <c r="W42" s="20">
        <v>32</v>
      </c>
      <c r="X42" s="20">
        <v>58</v>
      </c>
      <c r="Y42" s="22">
        <v>2.6337448559670782</v>
      </c>
      <c r="Z42" s="22">
        <v>2.8942115768463075</v>
      </c>
      <c r="AA42" s="20">
        <v>281.98992208864092</v>
      </c>
      <c r="AB42" s="20">
        <v>289.23730999999998</v>
      </c>
      <c r="AC42" s="18">
        <v>0.97494310844144194</v>
      </c>
      <c r="AD42" s="18">
        <v>7.2473879113590556</v>
      </c>
      <c r="AE42" s="56">
        <v>2.1098071658474855</v>
      </c>
    </row>
    <row r="43" spans="1:31" x14ac:dyDescent="0.3">
      <c r="A43" s="47">
        <v>33098</v>
      </c>
      <c r="B43" s="80" t="s">
        <v>65</v>
      </c>
      <c r="C43" s="7" t="s">
        <v>43</v>
      </c>
      <c r="D43" s="7" t="s">
        <v>48</v>
      </c>
      <c r="E43" s="7" t="s">
        <v>45</v>
      </c>
      <c r="F43" s="50">
        <v>12</v>
      </c>
      <c r="G43" s="17">
        <v>200.82</v>
      </c>
      <c r="H43" s="6">
        <v>185</v>
      </c>
      <c r="I43" s="56">
        <v>108.55135135135134</v>
      </c>
      <c r="J43" s="19">
        <v>2.94</v>
      </c>
      <c r="K43" s="18">
        <v>12.95</v>
      </c>
      <c r="L43" s="18">
        <v>264.28571428571428</v>
      </c>
      <c r="M43" s="20">
        <v>12.7</v>
      </c>
      <c r="N43" s="20">
        <v>113.61373715000001</v>
      </c>
      <c r="O43" s="62">
        <v>6.4922135514285717</v>
      </c>
      <c r="P43" s="20">
        <v>113.4665</v>
      </c>
      <c r="Q43" s="20">
        <v>188.35</v>
      </c>
      <c r="R43" s="20">
        <v>125.98177000000001</v>
      </c>
      <c r="S43" s="20">
        <v>37.662404092071611</v>
      </c>
      <c r="T43" s="21">
        <v>1.4726000000000001</v>
      </c>
      <c r="U43" s="20">
        <v>113.51300000000001</v>
      </c>
      <c r="V43" s="6">
        <v>12</v>
      </c>
      <c r="W43" s="20">
        <v>33.6</v>
      </c>
      <c r="X43" s="20">
        <v>62.8</v>
      </c>
      <c r="Y43" s="22">
        <v>2.7654320987654319</v>
      </c>
      <c r="Z43" s="22">
        <v>3.1337325349301399</v>
      </c>
      <c r="AA43" s="20">
        <v>307.84728301148141</v>
      </c>
      <c r="AB43" s="20">
        <v>314.33177000000001</v>
      </c>
      <c r="AC43" s="18">
        <v>0.97937056445640669</v>
      </c>
      <c r="AD43" s="18">
        <v>6.4844869885185972</v>
      </c>
      <c r="AE43" s="56">
        <v>1.6725136517044685</v>
      </c>
    </row>
    <row r="44" spans="1:31" x14ac:dyDescent="0.3">
      <c r="A44" s="47">
        <v>33098</v>
      </c>
      <c r="B44" s="80" t="s">
        <v>65</v>
      </c>
      <c r="C44" s="7" t="s">
        <v>43</v>
      </c>
      <c r="D44" s="7" t="s">
        <v>48</v>
      </c>
      <c r="E44" s="7" t="s">
        <v>46</v>
      </c>
      <c r="F44" s="50">
        <v>13</v>
      </c>
      <c r="G44" s="17">
        <v>169.03</v>
      </c>
      <c r="H44" s="6">
        <v>179</v>
      </c>
      <c r="I44" s="56">
        <v>94.430167597765376</v>
      </c>
      <c r="J44" s="19">
        <v>2.96</v>
      </c>
      <c r="K44" s="18">
        <v>11.72</v>
      </c>
      <c r="L44" s="18">
        <v>239.18367346938777</v>
      </c>
      <c r="M44" s="20">
        <v>12.2</v>
      </c>
      <c r="N44" s="20">
        <v>108.34104139999999</v>
      </c>
      <c r="O44" s="62">
        <v>6.1909166514285712</v>
      </c>
      <c r="P44" s="20">
        <v>108.2041</v>
      </c>
      <c r="Q44" s="20">
        <v>153.65</v>
      </c>
      <c r="R44" s="20">
        <v>132.27533</v>
      </c>
      <c r="S44" s="20">
        <v>41.123273657289005</v>
      </c>
      <c r="T44" s="21">
        <v>1.60792</v>
      </c>
      <c r="U44" s="20">
        <v>122.1037</v>
      </c>
      <c r="V44" s="6">
        <v>13</v>
      </c>
      <c r="W44" s="20">
        <v>35.6</v>
      </c>
      <c r="X44" s="20">
        <v>76</v>
      </c>
      <c r="Y44" s="22">
        <v>2.9300411522633745</v>
      </c>
      <c r="Z44" s="22">
        <v>3.7924151696606789</v>
      </c>
      <c r="AA44" s="20">
        <v>287.02940344860082</v>
      </c>
      <c r="AB44" s="20">
        <v>285.92533000000003</v>
      </c>
      <c r="AC44" s="18">
        <v>1.0038614048241223</v>
      </c>
      <c r="AD44" s="18">
        <v>-1.1040734486007864</v>
      </c>
      <c r="AE44" s="56">
        <v>1.6082782112916065</v>
      </c>
    </row>
    <row r="45" spans="1:31" x14ac:dyDescent="0.3">
      <c r="A45" s="47">
        <v>33098</v>
      </c>
      <c r="B45" s="80" t="s">
        <v>65</v>
      </c>
      <c r="C45" s="7" t="s">
        <v>43</v>
      </c>
      <c r="D45" s="7" t="s">
        <v>48</v>
      </c>
      <c r="E45" s="7" t="s">
        <v>47</v>
      </c>
      <c r="F45" s="50">
        <v>14</v>
      </c>
      <c r="G45" s="17">
        <v>197.7</v>
      </c>
      <c r="H45" s="6">
        <v>193</v>
      </c>
      <c r="I45" s="56">
        <v>102.43523316062175</v>
      </c>
      <c r="J45" s="19">
        <v>2.96</v>
      </c>
      <c r="K45" s="18">
        <v>11.91</v>
      </c>
      <c r="L45" s="18">
        <v>243.0612244897959</v>
      </c>
      <c r="M45" s="20">
        <v>12.4</v>
      </c>
      <c r="N45" s="20">
        <v>110.4477296</v>
      </c>
      <c r="O45" s="62">
        <v>6.3112988342857141</v>
      </c>
      <c r="P45" s="20">
        <v>112.10899999999999</v>
      </c>
      <c r="Q45" s="20">
        <v>161.44999999999999</v>
      </c>
      <c r="R45" s="20">
        <v>128.54779000000002</v>
      </c>
      <c r="S45" s="20">
        <v>36.237340153452685</v>
      </c>
      <c r="T45" s="21">
        <v>1.4168800000000001</v>
      </c>
      <c r="U45" s="20">
        <v>117.85980000000001</v>
      </c>
      <c r="V45" s="6">
        <v>14</v>
      </c>
      <c r="W45" s="20">
        <v>32</v>
      </c>
      <c r="X45" s="20">
        <v>66</v>
      </c>
      <c r="Y45" s="22">
        <v>2.6337448559670782</v>
      </c>
      <c r="Z45" s="22">
        <v>3.2934131736526946</v>
      </c>
      <c r="AA45" s="20">
        <v>285.22572267286836</v>
      </c>
      <c r="AB45" s="20">
        <v>289.99779000000001</v>
      </c>
      <c r="AC45" s="18">
        <v>0.98354447002119683</v>
      </c>
      <c r="AD45" s="18">
        <v>4.7720673271316514</v>
      </c>
      <c r="AE45" s="56">
        <v>1.7736924047908083</v>
      </c>
    </row>
    <row r="46" spans="1:31" x14ac:dyDescent="0.3">
      <c r="A46" s="47">
        <v>33098</v>
      </c>
      <c r="B46" s="80" t="s">
        <v>65</v>
      </c>
      <c r="C46" s="7" t="s">
        <v>43</v>
      </c>
      <c r="D46" s="7" t="s">
        <v>49</v>
      </c>
      <c r="E46" s="7" t="s">
        <v>45</v>
      </c>
      <c r="F46" s="50">
        <v>15</v>
      </c>
      <c r="G46" s="17">
        <v>189.23</v>
      </c>
      <c r="H46" s="6">
        <v>187</v>
      </c>
      <c r="I46" s="56">
        <v>101.19251336898397</v>
      </c>
      <c r="J46" s="19">
        <v>2.89</v>
      </c>
      <c r="K46" s="18">
        <v>14.35</v>
      </c>
      <c r="L46" s="18">
        <v>292.85714285714289</v>
      </c>
      <c r="M46" s="20">
        <v>11.7</v>
      </c>
      <c r="N46" s="20">
        <v>103.08826315</v>
      </c>
      <c r="O46" s="62">
        <v>5.8907578942857146</v>
      </c>
      <c r="P46" s="20">
        <v>101.913</v>
      </c>
      <c r="Q46" s="20">
        <v>218.75</v>
      </c>
      <c r="R46" s="20">
        <v>128.75565</v>
      </c>
      <c r="S46" s="20">
        <v>39.087468030690538</v>
      </c>
      <c r="T46" s="21">
        <v>1.5283199999999999</v>
      </c>
      <c r="U46" s="20">
        <v>114.2744</v>
      </c>
      <c r="V46" s="6">
        <v>15</v>
      </c>
      <c r="W46" s="20">
        <v>31.6</v>
      </c>
      <c r="X46" s="20">
        <v>65.599999999999994</v>
      </c>
      <c r="Y46" s="22">
        <v>2.6008230452674899</v>
      </c>
      <c r="Z46" s="22">
        <v>3.2734530938123751</v>
      </c>
      <c r="AA46" s="20">
        <v>337.81888702691327</v>
      </c>
      <c r="AB46" s="20">
        <v>347.50565</v>
      </c>
      <c r="AC46" s="18">
        <v>0.9721248763204664</v>
      </c>
      <c r="AD46" s="18">
        <v>9.6867629730867293</v>
      </c>
      <c r="AE46" s="56">
        <v>1.6470195754161432</v>
      </c>
    </row>
    <row r="47" spans="1:31" x14ac:dyDescent="0.3">
      <c r="A47" s="47">
        <v>33098</v>
      </c>
      <c r="B47" s="80" t="s">
        <v>65</v>
      </c>
      <c r="C47" s="7" t="s">
        <v>43</v>
      </c>
      <c r="D47" s="7" t="s">
        <v>49</v>
      </c>
      <c r="E47" s="7" t="s">
        <v>46</v>
      </c>
      <c r="F47" s="50">
        <v>16</v>
      </c>
      <c r="G47" s="17">
        <v>186.22</v>
      </c>
      <c r="H47" s="6">
        <v>170</v>
      </c>
      <c r="I47" s="56">
        <v>109.54117647058823</v>
      </c>
      <c r="J47" s="19">
        <v>3.01</v>
      </c>
      <c r="K47" s="18">
        <v>10.84</v>
      </c>
      <c r="L47" s="18">
        <v>221.22448979591834</v>
      </c>
      <c r="M47" s="20">
        <v>13.3</v>
      </c>
      <c r="N47" s="20">
        <v>119.96726314999999</v>
      </c>
      <c r="O47" s="62">
        <v>6.85527218</v>
      </c>
      <c r="P47" s="20">
        <v>123.5373</v>
      </c>
      <c r="Q47" s="20">
        <v>143.19999999999999</v>
      </c>
      <c r="R47" s="20">
        <v>126.12674</v>
      </c>
      <c r="S47" s="20">
        <v>45.602046035805628</v>
      </c>
      <c r="T47" s="21">
        <v>1.7830400000000002</v>
      </c>
      <c r="U47" s="20">
        <v>116.6469</v>
      </c>
      <c r="V47" s="6">
        <v>16</v>
      </c>
      <c r="W47" s="20">
        <v>34</v>
      </c>
      <c r="X47" s="20">
        <v>62.4</v>
      </c>
      <c r="Y47" s="22">
        <v>2.7983539094650203</v>
      </c>
      <c r="Z47" s="22">
        <v>3.1137724550898209</v>
      </c>
      <c r="AA47" s="20">
        <v>272.73866219627877</v>
      </c>
      <c r="AB47" s="20">
        <v>269.32673999999997</v>
      </c>
      <c r="AC47" s="18">
        <v>1.0126683380799055</v>
      </c>
      <c r="AD47" s="18">
        <v>-3.4119221962787947</v>
      </c>
      <c r="AE47" s="56">
        <v>1.3829065904298277</v>
      </c>
    </row>
    <row r="48" spans="1:31" x14ac:dyDescent="0.3">
      <c r="A48" s="47">
        <v>33098</v>
      </c>
      <c r="B48" s="80" t="s">
        <v>65</v>
      </c>
      <c r="C48" s="7" t="s">
        <v>43</v>
      </c>
      <c r="D48" s="7" t="s">
        <v>49</v>
      </c>
      <c r="E48" s="81" t="s">
        <v>47</v>
      </c>
      <c r="F48" s="50">
        <v>17</v>
      </c>
      <c r="G48" s="17">
        <v>143.72999999999999</v>
      </c>
      <c r="H48" s="31">
        <v>161</v>
      </c>
      <c r="I48" s="56">
        <v>89.273291925465841</v>
      </c>
      <c r="J48" s="19">
        <v>2.94</v>
      </c>
      <c r="K48" s="85">
        <v>12</v>
      </c>
      <c r="L48" s="85">
        <v>244.89795918367346</v>
      </c>
      <c r="M48" s="86">
        <v>11.6</v>
      </c>
      <c r="N48" s="86">
        <v>102.04009760000001</v>
      </c>
      <c r="O48" s="62">
        <v>5.8308627200000007</v>
      </c>
      <c r="P48" s="86">
        <v>101.979</v>
      </c>
      <c r="Q48" s="86">
        <v>157.19999999999999</v>
      </c>
      <c r="R48" s="86">
        <v>139.00564</v>
      </c>
      <c r="S48" s="86">
        <v>44.584143222506391</v>
      </c>
      <c r="T48" s="87">
        <v>1.7432399999999999</v>
      </c>
      <c r="U48" s="86">
        <v>128.59899999999999</v>
      </c>
      <c r="V48" s="31">
        <v>17</v>
      </c>
      <c r="W48" s="86">
        <v>35.6</v>
      </c>
      <c r="X48" s="86">
        <v>74.400000000000006</v>
      </c>
      <c r="Y48" s="88">
        <v>2.9300411522633745</v>
      </c>
      <c r="Z48" s="88">
        <v>3.7125748502994016</v>
      </c>
      <c r="AA48" s="86">
        <v>296.12471840874264</v>
      </c>
      <c r="AB48" s="86">
        <v>296.20564000000002</v>
      </c>
      <c r="AC48" s="85">
        <v>0.99972680604171693</v>
      </c>
      <c r="AD48" s="85">
        <v>8.0921591257379077E-2</v>
      </c>
      <c r="AE48" s="56">
        <v>1.5589134381955441</v>
      </c>
    </row>
    <row r="49" spans="1:31" ht="15" thickBot="1" x14ac:dyDescent="0.35">
      <c r="A49" s="82">
        <v>33105</v>
      </c>
      <c r="B49" s="79" t="s">
        <v>66</v>
      </c>
      <c r="C49" s="32" t="s">
        <v>43</v>
      </c>
      <c r="D49" s="32" t="s">
        <v>44</v>
      </c>
      <c r="E49" s="32" t="s">
        <v>45</v>
      </c>
      <c r="F49" s="51">
        <v>9</v>
      </c>
      <c r="G49" s="39">
        <v>199.9</v>
      </c>
      <c r="H49" s="33">
        <v>182</v>
      </c>
      <c r="I49" s="58">
        <v>109.83516483516485</v>
      </c>
      <c r="J49" s="41">
        <v>2.88</v>
      </c>
      <c r="K49" s="40">
        <v>11.11</v>
      </c>
      <c r="L49" s="40">
        <v>226.73469387755102</v>
      </c>
      <c r="M49" s="42">
        <v>14.4</v>
      </c>
      <c r="N49" s="42">
        <v>131.6898856</v>
      </c>
      <c r="O49" s="64">
        <v>7.5251363199999997</v>
      </c>
      <c r="P49" s="42">
        <v>140.4084</v>
      </c>
      <c r="Q49" s="42">
        <v>156.1268</v>
      </c>
      <c r="R49" s="42">
        <v>99.477694159999999</v>
      </c>
      <c r="S49" s="42">
        <v>20.765217391304347</v>
      </c>
      <c r="T49" s="43">
        <v>0.81191999999999998</v>
      </c>
      <c r="U49" s="42">
        <v>89.142099999999999</v>
      </c>
      <c r="V49" s="33">
        <v>9</v>
      </c>
      <c r="W49" s="42">
        <v>31.2</v>
      </c>
      <c r="X49" s="42">
        <v>46.8</v>
      </c>
      <c r="Y49" s="44">
        <v>2.5679012345679015</v>
      </c>
      <c r="Z49" s="44">
        <v>2.3353293413173652</v>
      </c>
      <c r="AA49" s="42">
        <v>252.40314184474065</v>
      </c>
      <c r="AB49" s="42">
        <v>255.60449416</v>
      </c>
      <c r="AC49" s="40">
        <v>0.98747536765431276</v>
      </c>
      <c r="AD49" s="40">
        <v>3.2013523152593564</v>
      </c>
      <c r="AE49" s="58">
        <v>2.3952962371021775</v>
      </c>
    </row>
    <row r="50" spans="1:31" ht="15" thickTop="1" x14ac:dyDescent="0.3">
      <c r="A50" s="48">
        <v>33105</v>
      </c>
      <c r="B50" s="80" t="s">
        <v>66</v>
      </c>
      <c r="C50" s="7" t="s">
        <v>43</v>
      </c>
      <c r="D50" s="7" t="s">
        <v>44</v>
      </c>
      <c r="E50" s="7" t="s">
        <v>46</v>
      </c>
      <c r="F50" s="49">
        <v>10</v>
      </c>
      <c r="G50" s="14">
        <v>200.97</v>
      </c>
      <c r="H50" s="2">
        <v>179</v>
      </c>
      <c r="I50" s="55">
        <v>112.27374301675978</v>
      </c>
      <c r="J50" s="15">
        <v>2.88</v>
      </c>
      <c r="K50" s="13">
        <v>10.72</v>
      </c>
      <c r="L50" s="13">
        <v>218.77551020408166</v>
      </c>
      <c r="M50" s="4">
        <v>14.3</v>
      </c>
      <c r="N50" s="4">
        <v>130.62020914999999</v>
      </c>
      <c r="O50" s="61">
        <v>7.4640119514285708</v>
      </c>
      <c r="P50" s="4">
        <v>137.36340000000001</v>
      </c>
      <c r="Q50" s="4">
        <v>148.2097</v>
      </c>
      <c r="R50" s="4">
        <v>99.225682139999989</v>
      </c>
      <c r="S50" s="4">
        <v>22.393861892583121</v>
      </c>
      <c r="T50" s="16">
        <v>0.87560000000000004</v>
      </c>
      <c r="U50" s="4">
        <v>89.414199999999994</v>
      </c>
      <c r="V50" s="2">
        <v>10</v>
      </c>
      <c r="W50" s="4">
        <v>31.2</v>
      </c>
      <c r="X50" s="4">
        <v>47.6</v>
      </c>
      <c r="Y50" s="5">
        <v>2.5679012345679015</v>
      </c>
      <c r="Z50" s="5">
        <v>2.3752495009980037</v>
      </c>
      <c r="AA50" s="4">
        <v>246.11252283223067</v>
      </c>
      <c r="AB50" s="4">
        <v>247.43538214</v>
      </c>
      <c r="AC50" s="13">
        <v>0.99465371808862468</v>
      </c>
      <c r="AD50" s="13">
        <v>1.3228593077693347</v>
      </c>
      <c r="AE50" s="55">
        <v>2.2154660642268156</v>
      </c>
    </row>
    <row r="51" spans="1:31" x14ac:dyDescent="0.3">
      <c r="A51" s="47">
        <v>33105</v>
      </c>
      <c r="B51" s="80" t="s">
        <v>66</v>
      </c>
      <c r="C51" s="3" t="s">
        <v>43</v>
      </c>
      <c r="D51" s="3" t="s">
        <v>44</v>
      </c>
      <c r="E51" s="7" t="s">
        <v>47</v>
      </c>
      <c r="F51" s="50">
        <v>11</v>
      </c>
      <c r="G51" s="17">
        <v>207.86</v>
      </c>
      <c r="H51" s="6">
        <v>180</v>
      </c>
      <c r="I51" s="56">
        <v>115.47777777777779</v>
      </c>
      <c r="J51" s="19">
        <v>2.95</v>
      </c>
      <c r="K51" s="18">
        <v>9.43</v>
      </c>
      <c r="L51" s="18">
        <v>192.44897959183675</v>
      </c>
      <c r="M51" s="20">
        <v>15</v>
      </c>
      <c r="N51" s="20">
        <v>138.124675</v>
      </c>
      <c r="O51" s="62">
        <v>7.8928385714285714</v>
      </c>
      <c r="P51" s="20">
        <v>146.9316</v>
      </c>
      <c r="Q51" s="20">
        <v>116.53360000000001</v>
      </c>
      <c r="R51" s="20">
        <v>103.83272432</v>
      </c>
      <c r="S51" s="20">
        <v>26.872634271099745</v>
      </c>
      <c r="T51" s="21">
        <v>1.0507200000000001</v>
      </c>
      <c r="U51" s="20">
        <v>96.118200000000002</v>
      </c>
      <c r="V51" s="6">
        <v>11</v>
      </c>
      <c r="W51" s="20">
        <v>33.6</v>
      </c>
      <c r="X51" s="20">
        <v>48</v>
      </c>
      <c r="Y51" s="22">
        <v>2.7654320987654319</v>
      </c>
      <c r="Z51" s="22">
        <v>2.3952095808383236</v>
      </c>
      <c r="AA51" s="20">
        <v>224.48225554254026</v>
      </c>
      <c r="AB51" s="20">
        <v>220.36632431999999</v>
      </c>
      <c r="AC51" s="18">
        <v>1.0186776778858615</v>
      </c>
      <c r="AD51" s="18">
        <v>-4.1159312225402687</v>
      </c>
      <c r="AE51" s="56">
        <v>1.9319416785213948</v>
      </c>
    </row>
    <row r="52" spans="1:31" x14ac:dyDescent="0.3">
      <c r="A52" s="47">
        <v>33105</v>
      </c>
      <c r="B52" s="80" t="s">
        <v>66</v>
      </c>
      <c r="C52" s="3" t="s">
        <v>43</v>
      </c>
      <c r="D52" s="7" t="s">
        <v>48</v>
      </c>
      <c r="E52" s="7" t="s">
        <v>45</v>
      </c>
      <c r="F52" s="50">
        <v>12</v>
      </c>
      <c r="G52" s="17">
        <v>216.88</v>
      </c>
      <c r="H52" s="6">
        <v>179</v>
      </c>
      <c r="I52" s="56">
        <v>121.16201117318435</v>
      </c>
      <c r="J52" s="19">
        <v>3</v>
      </c>
      <c r="K52" s="18">
        <v>9.59</v>
      </c>
      <c r="L52" s="18">
        <v>195.71428571428569</v>
      </c>
      <c r="M52" s="20">
        <v>14.3</v>
      </c>
      <c r="N52" s="20">
        <v>130.62020914999999</v>
      </c>
      <c r="O52" s="62">
        <v>7.4640119514285708</v>
      </c>
      <c r="P52" s="20">
        <v>138.5197</v>
      </c>
      <c r="Q52" s="20">
        <v>121.6678</v>
      </c>
      <c r="R52" s="20">
        <v>110.89240835999999</v>
      </c>
      <c r="S52" s="20">
        <v>37.458823529411767</v>
      </c>
      <c r="T52" s="21">
        <v>1.4646400000000002</v>
      </c>
      <c r="U52" s="20">
        <v>102.83799999999999</v>
      </c>
      <c r="V52" s="6">
        <v>12</v>
      </c>
      <c r="W52" s="20">
        <v>36</v>
      </c>
      <c r="X52" s="20">
        <v>56.8</v>
      </c>
      <c r="Y52" s="22">
        <v>2.9629629629629628</v>
      </c>
      <c r="Z52" s="22">
        <v>2.8343313373253491</v>
      </c>
      <c r="AA52" s="20">
        <v>238.97040354398578</v>
      </c>
      <c r="AB52" s="20">
        <v>232.56020835999999</v>
      </c>
      <c r="AC52" s="18">
        <v>1.0275635940868393</v>
      </c>
      <c r="AD52" s="18">
        <v>-6.4101951839857918</v>
      </c>
      <c r="AE52" s="56">
        <v>1.4801907522927134</v>
      </c>
    </row>
    <row r="53" spans="1:31" x14ac:dyDescent="0.3">
      <c r="A53" s="47">
        <v>33105</v>
      </c>
      <c r="B53" s="80" t="s">
        <v>66</v>
      </c>
      <c r="C53" s="3" t="s">
        <v>43</v>
      </c>
      <c r="D53" s="7" t="s">
        <v>48</v>
      </c>
      <c r="E53" s="23" t="s">
        <v>46</v>
      </c>
      <c r="F53" s="52">
        <v>13</v>
      </c>
      <c r="G53" s="25">
        <v>210.67</v>
      </c>
      <c r="H53" s="24">
        <v>186</v>
      </c>
      <c r="I53" s="57">
        <v>113.26344086021504</v>
      </c>
      <c r="J53" s="27">
        <v>3.05</v>
      </c>
      <c r="K53" s="26">
        <v>8.84</v>
      </c>
      <c r="L53" s="26">
        <v>180.40816326530611</v>
      </c>
      <c r="M53" s="28">
        <v>13.8</v>
      </c>
      <c r="N53" s="28">
        <v>125.28377740000001</v>
      </c>
      <c r="O53" s="63">
        <v>7.1590729942857143</v>
      </c>
      <c r="P53" s="28">
        <v>132.40440000000001</v>
      </c>
      <c r="Q53" s="28">
        <v>104.33069999999999</v>
      </c>
      <c r="R53" s="28">
        <v>114.39119234</v>
      </c>
      <c r="S53" s="28">
        <v>39.698209718670078</v>
      </c>
      <c r="T53" s="29">
        <v>1.5522</v>
      </c>
      <c r="U53" s="28">
        <v>107.4845</v>
      </c>
      <c r="V53" s="24">
        <v>13</v>
      </c>
      <c r="W53" s="28">
        <v>37.6</v>
      </c>
      <c r="X53" s="28">
        <v>59.6</v>
      </c>
      <c r="Y53" s="30">
        <v>3.0946502057613161</v>
      </c>
      <c r="Z53" s="30">
        <v>2.9740518962075848</v>
      </c>
      <c r="AA53" s="28">
        <v>226.17507508594511</v>
      </c>
      <c r="AB53" s="28">
        <v>218.72189234000001</v>
      </c>
      <c r="AC53" s="26">
        <v>1.0340760710608667</v>
      </c>
      <c r="AD53" s="26">
        <v>-7.4531827459450994</v>
      </c>
      <c r="AE53" s="57">
        <v>1.4407600890651977</v>
      </c>
    </row>
    <row r="54" spans="1:31" x14ac:dyDescent="0.3">
      <c r="A54" s="47">
        <v>33105</v>
      </c>
      <c r="B54" s="80" t="s">
        <v>66</v>
      </c>
      <c r="C54" s="7" t="s">
        <v>43</v>
      </c>
      <c r="D54" s="7" t="s">
        <v>48</v>
      </c>
      <c r="E54" s="7" t="s">
        <v>47</v>
      </c>
      <c r="F54" s="50">
        <v>14</v>
      </c>
      <c r="G54" s="17">
        <v>218.46</v>
      </c>
      <c r="H54" s="6">
        <v>190</v>
      </c>
      <c r="I54" s="56">
        <v>114.97894736842105</v>
      </c>
      <c r="J54" s="19">
        <v>3</v>
      </c>
      <c r="K54" s="18">
        <v>9.0299999999999994</v>
      </c>
      <c r="L54" s="18">
        <v>184.28571428571428</v>
      </c>
      <c r="M54" s="20">
        <v>13.9</v>
      </c>
      <c r="N54" s="20">
        <v>126.34947035</v>
      </c>
      <c r="O54" s="62">
        <v>7.2199697342857148</v>
      </c>
      <c r="P54" s="20">
        <v>132.83179999999999</v>
      </c>
      <c r="Q54" s="20">
        <v>104.19289999999999</v>
      </c>
      <c r="R54" s="20">
        <v>113.48916998</v>
      </c>
      <c r="S54" s="20">
        <v>35.015856777493603</v>
      </c>
      <c r="T54" s="21">
        <v>1.3691199999999999</v>
      </c>
      <c r="U54" s="20">
        <v>106.5916</v>
      </c>
      <c r="V54" s="6">
        <v>14</v>
      </c>
      <c r="W54" s="20">
        <v>34.4</v>
      </c>
      <c r="X54" s="20">
        <v>55.6</v>
      </c>
      <c r="Y54" s="22">
        <v>2.831275720164609</v>
      </c>
      <c r="Z54" s="22">
        <v>2.7744510978043913</v>
      </c>
      <c r="AA54" s="20">
        <v>224.90729788117687</v>
      </c>
      <c r="AB54" s="20">
        <v>217.68206997999999</v>
      </c>
      <c r="AC54" s="18">
        <v>1.0331916537813184</v>
      </c>
      <c r="AD54" s="18">
        <v>-7.2252279011768792</v>
      </c>
      <c r="AE54" s="56">
        <v>1.620539670086625</v>
      </c>
    </row>
    <row r="55" spans="1:31" x14ac:dyDescent="0.3">
      <c r="A55" s="47">
        <v>33105</v>
      </c>
      <c r="B55" s="80" t="s">
        <v>66</v>
      </c>
      <c r="C55" s="7" t="s">
        <v>43</v>
      </c>
      <c r="D55" s="7" t="s">
        <v>49</v>
      </c>
      <c r="E55" s="7" t="s">
        <v>45</v>
      </c>
      <c r="F55" s="50">
        <v>15</v>
      </c>
      <c r="G55" s="17">
        <v>204.1</v>
      </c>
      <c r="H55" s="6">
        <v>174</v>
      </c>
      <c r="I55" s="56">
        <v>117.29885057471263</v>
      </c>
      <c r="J55" s="19">
        <v>2.97</v>
      </c>
      <c r="K55" s="18">
        <v>10.5</v>
      </c>
      <c r="L55" s="18">
        <v>214.28571428571428</v>
      </c>
      <c r="M55" s="20">
        <v>13.4</v>
      </c>
      <c r="N55" s="20">
        <v>121.02897259999999</v>
      </c>
      <c r="O55" s="62">
        <v>6.9159412914285712</v>
      </c>
      <c r="P55" s="20">
        <v>126.0595</v>
      </c>
      <c r="Q55" s="20">
        <v>142.5282</v>
      </c>
      <c r="R55" s="20">
        <v>110.43576684</v>
      </c>
      <c r="S55" s="20">
        <v>39.698209718670078</v>
      </c>
      <c r="T55" s="21">
        <v>1.5522</v>
      </c>
      <c r="U55" s="20">
        <v>101.0004</v>
      </c>
      <c r="V55" s="6">
        <v>15</v>
      </c>
      <c r="W55" s="20">
        <v>34.4</v>
      </c>
      <c r="X55" s="20">
        <v>56.4</v>
      </c>
      <c r="Y55" s="22">
        <v>2.831275720164609</v>
      </c>
      <c r="Z55" s="22">
        <v>2.8143712574850301</v>
      </c>
      <c r="AA55" s="20">
        <v>259.62957098203401</v>
      </c>
      <c r="AB55" s="20">
        <v>252.96396684000001</v>
      </c>
      <c r="AC55" s="18">
        <v>1.0263500142937354</v>
      </c>
      <c r="AD55" s="18">
        <v>-6.6656041420339989</v>
      </c>
      <c r="AE55" s="56">
        <v>1.3909414004136065</v>
      </c>
    </row>
    <row r="56" spans="1:31" x14ac:dyDescent="0.3">
      <c r="A56" s="47">
        <v>33105</v>
      </c>
      <c r="B56" s="80" t="s">
        <v>66</v>
      </c>
      <c r="C56" s="7" t="s">
        <v>43</v>
      </c>
      <c r="D56" s="7" t="s">
        <v>49</v>
      </c>
      <c r="E56" s="7" t="s">
        <v>46</v>
      </c>
      <c r="F56" s="50">
        <v>16</v>
      </c>
      <c r="G56" s="17">
        <v>219.02</v>
      </c>
      <c r="H56" s="6">
        <v>173</v>
      </c>
      <c r="I56" s="56">
        <v>126.60115606936418</v>
      </c>
      <c r="J56" s="19">
        <v>3.08</v>
      </c>
      <c r="K56" s="18">
        <v>8.39</v>
      </c>
      <c r="L56" s="18">
        <v>171.22448979591837</v>
      </c>
      <c r="M56" s="20">
        <v>14.4</v>
      </c>
      <c r="N56" s="20">
        <v>131.6898856</v>
      </c>
      <c r="O56" s="62">
        <v>7.5251363199999997</v>
      </c>
      <c r="P56" s="20">
        <v>138.03030000000001</v>
      </c>
      <c r="Q56" s="20">
        <v>104.6876</v>
      </c>
      <c r="R56" s="20">
        <v>111.50021912</v>
      </c>
      <c r="S56" s="20">
        <v>44.176982097186695</v>
      </c>
      <c r="T56" s="21">
        <v>1.72732</v>
      </c>
      <c r="U56" s="20">
        <v>104.5699</v>
      </c>
      <c r="V56" s="6">
        <v>16</v>
      </c>
      <c r="W56" s="20">
        <v>36</v>
      </c>
      <c r="X56" s="20">
        <v>52.4</v>
      </c>
      <c r="Y56" s="22">
        <v>2.9629629629629628</v>
      </c>
      <c r="Z56" s="22">
        <v>2.6147704590818366</v>
      </c>
      <c r="AA56" s="20">
        <v>220.97920531514984</v>
      </c>
      <c r="AB56" s="20">
        <v>216.18781912</v>
      </c>
      <c r="AC56" s="18">
        <v>1.0221630719744217</v>
      </c>
      <c r="AD56" s="18">
        <v>-4.7913861951498404</v>
      </c>
      <c r="AE56" s="56">
        <v>1.2619718892828198</v>
      </c>
    </row>
    <row r="57" spans="1:31" x14ac:dyDescent="0.3">
      <c r="A57" s="47">
        <v>33105</v>
      </c>
      <c r="B57" s="80" t="s">
        <v>66</v>
      </c>
      <c r="C57" s="7" t="s">
        <v>43</v>
      </c>
      <c r="D57" s="7" t="s">
        <v>49</v>
      </c>
      <c r="E57" s="23" t="s">
        <v>47</v>
      </c>
      <c r="F57" s="52">
        <v>17</v>
      </c>
      <c r="G57" s="25">
        <v>165.64</v>
      </c>
      <c r="H57" s="24">
        <v>155</v>
      </c>
      <c r="I57" s="57">
        <v>106.86451612903225</v>
      </c>
      <c r="J57" s="27">
        <v>3.07</v>
      </c>
      <c r="K57" s="26">
        <v>8.2899999999999991</v>
      </c>
      <c r="L57" s="26">
        <v>169.18367346938774</v>
      </c>
      <c r="M57" s="28">
        <v>13.2</v>
      </c>
      <c r="N57" s="28">
        <v>118.90635039999999</v>
      </c>
      <c r="O57" s="63">
        <v>6.7946485942857135</v>
      </c>
      <c r="P57" s="28">
        <v>124.3288</v>
      </c>
      <c r="Q57" s="28">
        <v>100.7882</v>
      </c>
      <c r="R57" s="28">
        <v>116.56787884000001</v>
      </c>
      <c r="S57" s="28">
        <v>44.991304347826087</v>
      </c>
      <c r="T57" s="29">
        <v>1.7591600000000001</v>
      </c>
      <c r="U57" s="28">
        <v>109.89570000000001</v>
      </c>
      <c r="V57" s="24">
        <v>17</v>
      </c>
      <c r="W57" s="28">
        <v>37.200000000000003</v>
      </c>
      <c r="X57" s="28">
        <v>60</v>
      </c>
      <c r="Y57" s="30">
        <v>3.0617283950617287</v>
      </c>
      <c r="Z57" s="30">
        <v>2.9940119760479043</v>
      </c>
      <c r="AA57" s="28">
        <v>220.23071818832346</v>
      </c>
      <c r="AB57" s="28">
        <v>217.35607884000001</v>
      </c>
      <c r="AC57" s="26">
        <v>1.0132254840244865</v>
      </c>
      <c r="AD57" s="26">
        <v>-2.8746393483234556</v>
      </c>
      <c r="AE57" s="57">
        <v>1.2954489820834945</v>
      </c>
    </row>
    <row r="58" spans="1:31" x14ac:dyDescent="0.3">
      <c r="A58" s="47">
        <v>33112</v>
      </c>
      <c r="B58" s="80" t="s">
        <v>67</v>
      </c>
      <c r="C58" s="7" t="s">
        <v>43</v>
      </c>
      <c r="D58" s="7" t="s">
        <v>44</v>
      </c>
      <c r="E58" s="7" t="s">
        <v>45</v>
      </c>
      <c r="F58" s="50">
        <v>9</v>
      </c>
      <c r="G58" s="17">
        <v>235.28</v>
      </c>
      <c r="H58" s="6">
        <v>188</v>
      </c>
      <c r="I58" s="56">
        <v>125.14893617021276</v>
      </c>
      <c r="J58" s="19">
        <v>3.02</v>
      </c>
      <c r="K58" s="18">
        <v>7.53</v>
      </c>
      <c r="L58" s="18">
        <v>153.67346938775512</v>
      </c>
      <c r="M58" s="20">
        <v>16.5</v>
      </c>
      <c r="N58" s="20">
        <v>154.33712874999998</v>
      </c>
      <c r="O58" s="62">
        <v>8.8192644999999992</v>
      </c>
      <c r="P58" s="20">
        <v>160.767</v>
      </c>
      <c r="Q58" s="20">
        <v>96.552099999999996</v>
      </c>
      <c r="R58" s="20">
        <v>88.296749019999993</v>
      </c>
      <c r="S58" s="20">
        <v>22.801023017902814</v>
      </c>
      <c r="T58" s="21">
        <v>0.89152000000000009</v>
      </c>
      <c r="U58" s="20">
        <v>81.905000000000001</v>
      </c>
      <c r="V58" s="6">
        <v>9</v>
      </c>
      <c r="W58" s="20">
        <v>34</v>
      </c>
      <c r="X58" s="20">
        <v>44.4</v>
      </c>
      <c r="Y58" s="22">
        <v>2.7983539094650203</v>
      </c>
      <c r="Z58" s="22">
        <v>2.2155688622754495</v>
      </c>
      <c r="AA58" s="20">
        <v>181.48841517739842</v>
      </c>
      <c r="AB58" s="20">
        <v>184.84884901999999</v>
      </c>
      <c r="AC58" s="18">
        <v>0.98182063961762633</v>
      </c>
      <c r="AD58" s="18">
        <v>3.3604338426015659</v>
      </c>
      <c r="AE58" s="56">
        <v>1.9362453375594488</v>
      </c>
    </row>
    <row r="59" spans="1:31" x14ac:dyDescent="0.3">
      <c r="A59" s="47">
        <v>33112</v>
      </c>
      <c r="B59" s="80" t="s">
        <v>67</v>
      </c>
      <c r="C59" s="7" t="s">
        <v>43</v>
      </c>
      <c r="D59" s="7" t="s">
        <v>44</v>
      </c>
      <c r="E59" s="7" t="s">
        <v>46</v>
      </c>
      <c r="F59" s="50">
        <v>10</v>
      </c>
      <c r="G59" s="17">
        <v>238.57</v>
      </c>
      <c r="H59" s="6">
        <v>187</v>
      </c>
      <c r="I59" s="56">
        <v>127.57754010695186</v>
      </c>
      <c r="J59" s="19">
        <v>2.99</v>
      </c>
      <c r="K59" s="18">
        <v>8.08</v>
      </c>
      <c r="L59" s="18">
        <v>164.89795918367346</v>
      </c>
      <c r="M59" s="20">
        <v>15.6</v>
      </c>
      <c r="N59" s="20">
        <v>144.58814559999996</v>
      </c>
      <c r="O59" s="62">
        <v>8.2621797485714268</v>
      </c>
      <c r="P59" s="20">
        <v>151.56180000000001</v>
      </c>
      <c r="Q59" s="20">
        <v>106.6585</v>
      </c>
      <c r="R59" s="20">
        <v>93.295092699999998</v>
      </c>
      <c r="S59" s="20">
        <v>23.818925831202044</v>
      </c>
      <c r="T59" s="21">
        <v>0.93131999999999993</v>
      </c>
      <c r="U59" s="20">
        <v>86.234300000000005</v>
      </c>
      <c r="V59" s="6">
        <v>10</v>
      </c>
      <c r="W59" s="20">
        <v>33.200000000000003</v>
      </c>
      <c r="X59" s="20">
        <v>46.4</v>
      </c>
      <c r="Y59" s="22">
        <v>2.7325102880658432</v>
      </c>
      <c r="Z59" s="22">
        <v>2.3153692614770458</v>
      </c>
      <c r="AA59" s="20">
        <v>193.76476456441841</v>
      </c>
      <c r="AB59" s="20">
        <v>199.9535927</v>
      </c>
      <c r="AC59" s="18">
        <v>0.96904867748554546</v>
      </c>
      <c r="AD59" s="18">
        <v>6.1888281355815877</v>
      </c>
      <c r="AE59" s="56">
        <v>1.9584235947740842</v>
      </c>
    </row>
    <row r="60" spans="1:31" x14ac:dyDescent="0.3">
      <c r="A60" s="47">
        <v>33112</v>
      </c>
      <c r="B60" s="80" t="s">
        <v>67</v>
      </c>
      <c r="C60" s="7" t="s">
        <v>43</v>
      </c>
      <c r="D60" s="7" t="s">
        <v>44</v>
      </c>
      <c r="E60" s="7" t="s">
        <v>47</v>
      </c>
      <c r="F60" s="50">
        <v>11</v>
      </c>
      <c r="G60" s="17">
        <v>235.25</v>
      </c>
      <c r="H60" s="6">
        <v>187</v>
      </c>
      <c r="I60" s="56">
        <v>125.80213903743316</v>
      </c>
      <c r="J60" s="19">
        <v>3.07</v>
      </c>
      <c r="K60" s="18">
        <v>6.77</v>
      </c>
      <c r="L60" s="18">
        <v>138.16326530612244</v>
      </c>
      <c r="M60" s="20">
        <v>16.8</v>
      </c>
      <c r="N60" s="20">
        <v>157.60113039999999</v>
      </c>
      <c r="O60" s="62">
        <v>9.0057788799999994</v>
      </c>
      <c r="P60" s="20">
        <v>164.77</v>
      </c>
      <c r="Q60" s="20">
        <v>73.870199999999997</v>
      </c>
      <c r="R60" s="20">
        <v>98.99780724</v>
      </c>
      <c r="S60" s="20">
        <v>28.297698209718664</v>
      </c>
      <c r="T60" s="21">
        <v>1.1064399999999999</v>
      </c>
      <c r="U60" s="20">
        <v>94.107600000000005</v>
      </c>
      <c r="V60" s="6">
        <v>11</v>
      </c>
      <c r="W60" s="20">
        <v>36.799999999999997</v>
      </c>
      <c r="X60" s="20">
        <v>47.6</v>
      </c>
      <c r="Y60" s="22">
        <v>3.0288065843621403</v>
      </c>
      <c r="Z60" s="22">
        <v>2.3752495009980037</v>
      </c>
      <c r="AA60" s="20">
        <v>171.86501960120125</v>
      </c>
      <c r="AB60" s="20">
        <v>172.86800724</v>
      </c>
      <c r="AC60" s="18">
        <v>0.99419795684110446</v>
      </c>
      <c r="AD60" s="18">
        <v>1.0029876387987429</v>
      </c>
      <c r="AE60" s="56">
        <v>1.7492201398557539</v>
      </c>
    </row>
    <row r="61" spans="1:31" x14ac:dyDescent="0.3">
      <c r="A61" s="47">
        <v>33112</v>
      </c>
      <c r="B61" s="80" t="s">
        <v>67</v>
      </c>
      <c r="C61" s="7" t="s">
        <v>43</v>
      </c>
      <c r="D61" s="7" t="s">
        <v>48</v>
      </c>
      <c r="E61" s="7" t="s">
        <v>45</v>
      </c>
      <c r="F61" s="50">
        <v>12</v>
      </c>
      <c r="G61" s="17">
        <v>239.7</v>
      </c>
      <c r="H61" s="6">
        <v>177</v>
      </c>
      <c r="I61" s="56">
        <v>135.42372881355931</v>
      </c>
      <c r="J61" s="19">
        <v>3.14</v>
      </c>
      <c r="K61" s="18">
        <v>7.02</v>
      </c>
      <c r="L61" s="18">
        <v>143.26530612244898</v>
      </c>
      <c r="M61" s="20">
        <v>16.100000000000001</v>
      </c>
      <c r="N61" s="20">
        <v>149.99628035000001</v>
      </c>
      <c r="O61" s="62">
        <v>8.5712160199999996</v>
      </c>
      <c r="P61" s="20">
        <v>156.054</v>
      </c>
      <c r="Q61" s="20">
        <v>82.570899999999995</v>
      </c>
      <c r="R61" s="20">
        <v>105.27649357999999</v>
      </c>
      <c r="S61" s="20">
        <v>39.291048593350382</v>
      </c>
      <c r="T61" s="21">
        <v>1.5362799999999999</v>
      </c>
      <c r="U61" s="20">
        <v>99.810299999999998</v>
      </c>
      <c r="V61" s="6">
        <v>12</v>
      </c>
      <c r="W61" s="20">
        <v>37.6</v>
      </c>
      <c r="X61" s="20">
        <v>51.2</v>
      </c>
      <c r="Y61" s="22">
        <v>3.0946502057613161</v>
      </c>
      <c r="Z61" s="22">
        <v>2.5548902195608787</v>
      </c>
      <c r="AA61" s="20">
        <v>188.20589514112157</v>
      </c>
      <c r="AB61" s="20">
        <v>187.84739357999999</v>
      </c>
      <c r="AC61" s="18">
        <v>1.0019084723737139</v>
      </c>
      <c r="AD61" s="18">
        <v>-0.35850156112158515</v>
      </c>
      <c r="AE61" s="56">
        <v>1.3397007378140704</v>
      </c>
    </row>
    <row r="62" spans="1:31" x14ac:dyDescent="0.3">
      <c r="A62" s="47">
        <v>33112</v>
      </c>
      <c r="B62" s="80" t="s">
        <v>67</v>
      </c>
      <c r="C62" s="7" t="s">
        <v>43</v>
      </c>
      <c r="D62" s="7" t="s">
        <v>48</v>
      </c>
      <c r="E62" s="7" t="s">
        <v>46</v>
      </c>
      <c r="F62" s="50">
        <v>13</v>
      </c>
      <c r="G62" s="17">
        <v>227.17</v>
      </c>
      <c r="H62" s="6">
        <v>185</v>
      </c>
      <c r="I62" s="56">
        <v>122.79459459459459</v>
      </c>
      <c r="J62" s="19">
        <v>3.19</v>
      </c>
      <c r="K62" s="18">
        <v>6.4</v>
      </c>
      <c r="L62" s="18">
        <v>130.61224489795919</v>
      </c>
      <c r="M62" s="20">
        <v>15.6</v>
      </c>
      <c r="N62" s="20">
        <v>144.58814559999996</v>
      </c>
      <c r="O62" s="62">
        <v>8.2621797485714268</v>
      </c>
      <c r="P62" s="20">
        <v>147.9049</v>
      </c>
      <c r="Q62" s="20">
        <v>70.659899999999993</v>
      </c>
      <c r="R62" s="20">
        <v>108.58108538</v>
      </c>
      <c r="S62" s="20">
        <v>42.548337595907924</v>
      </c>
      <c r="T62" s="21">
        <v>1.6636399999999998</v>
      </c>
      <c r="U62" s="20">
        <v>103.9034</v>
      </c>
      <c r="V62" s="6">
        <v>13</v>
      </c>
      <c r="W62" s="20">
        <v>42.4</v>
      </c>
      <c r="X62" s="20">
        <v>56.8</v>
      </c>
      <c r="Y62" s="22">
        <v>3.4897119341563791</v>
      </c>
      <c r="Z62" s="22">
        <v>2.8343313373253491</v>
      </c>
      <c r="AA62" s="20">
        <v>179.48462576534885</v>
      </c>
      <c r="AB62" s="20">
        <v>179.24098537999998</v>
      </c>
      <c r="AC62" s="18">
        <v>1.0013592894774168</v>
      </c>
      <c r="AD62" s="18">
        <v>-0.24364038534886845</v>
      </c>
      <c r="AE62" s="56">
        <v>1.2759732990184176</v>
      </c>
    </row>
    <row r="63" spans="1:31" x14ac:dyDescent="0.3">
      <c r="A63" s="47">
        <v>33112</v>
      </c>
      <c r="B63" s="80" t="s">
        <v>67</v>
      </c>
      <c r="C63" s="7" t="s">
        <v>43</v>
      </c>
      <c r="D63" s="7" t="s">
        <v>48</v>
      </c>
      <c r="E63" s="7" t="s">
        <v>47</v>
      </c>
      <c r="F63" s="50">
        <v>14</v>
      </c>
      <c r="G63" s="17">
        <v>237.76</v>
      </c>
      <c r="H63" s="6">
        <v>188</v>
      </c>
      <c r="I63" s="56">
        <v>126.46808510638297</v>
      </c>
      <c r="J63" s="19">
        <v>3.15</v>
      </c>
      <c r="K63" s="18">
        <v>6.91</v>
      </c>
      <c r="L63" s="18">
        <v>141.0204081632653</v>
      </c>
      <c r="M63" s="20">
        <v>15.4</v>
      </c>
      <c r="N63" s="20">
        <v>142.43046859999998</v>
      </c>
      <c r="O63" s="62">
        <v>8.1388839199999996</v>
      </c>
      <c r="P63" s="20">
        <v>146.9016</v>
      </c>
      <c r="Q63" s="20">
        <v>78.3917</v>
      </c>
      <c r="R63" s="20">
        <v>106.58703054</v>
      </c>
      <c r="S63" s="20">
        <v>39.087468030690538</v>
      </c>
      <c r="T63" s="21">
        <v>1.5283199999999999</v>
      </c>
      <c r="U63" s="20">
        <v>101.39749999999999</v>
      </c>
      <c r="V63" s="6">
        <v>14</v>
      </c>
      <c r="W63" s="20">
        <v>37.200000000000003</v>
      </c>
      <c r="X63" s="20">
        <v>52.4</v>
      </c>
      <c r="Y63" s="22">
        <v>3.0617283950617287</v>
      </c>
      <c r="Z63" s="22">
        <v>2.6147704590818366</v>
      </c>
      <c r="AA63" s="20">
        <v>185.78437504809938</v>
      </c>
      <c r="AB63" s="20">
        <v>184.97873054000002</v>
      </c>
      <c r="AC63" s="18">
        <v>1.0043553359121207</v>
      </c>
      <c r="AD63" s="18">
        <v>-0.80564450809936261</v>
      </c>
      <c r="AE63" s="56">
        <v>1.3634425035705873</v>
      </c>
    </row>
    <row r="64" spans="1:31" x14ac:dyDescent="0.3">
      <c r="A64" s="47">
        <v>33112</v>
      </c>
      <c r="B64" s="80" t="s">
        <v>67</v>
      </c>
      <c r="C64" s="7" t="s">
        <v>43</v>
      </c>
      <c r="D64" s="7" t="s">
        <v>49</v>
      </c>
      <c r="E64" s="7" t="s">
        <v>45</v>
      </c>
      <c r="F64" s="50">
        <v>15</v>
      </c>
      <c r="G64" s="17">
        <v>244.46</v>
      </c>
      <c r="H64" s="6">
        <v>181</v>
      </c>
      <c r="I64" s="56">
        <v>135.06077348066299</v>
      </c>
      <c r="J64" s="19">
        <v>3.09</v>
      </c>
      <c r="K64" s="18">
        <v>7.93</v>
      </c>
      <c r="L64" s="18">
        <v>161.83673469387756</v>
      </c>
      <c r="M64" s="20">
        <v>15</v>
      </c>
      <c r="N64" s="20">
        <v>138.124675</v>
      </c>
      <c r="O64" s="62">
        <v>7.8928385714285714</v>
      </c>
      <c r="P64" s="20">
        <v>143.97380000000001</v>
      </c>
      <c r="Q64" s="20">
        <v>105.22280000000001</v>
      </c>
      <c r="R64" s="20">
        <v>105.53384936</v>
      </c>
      <c r="S64" s="20">
        <v>42.141176470588228</v>
      </c>
      <c r="T64" s="21">
        <v>1.6477199999999999</v>
      </c>
      <c r="U64" s="20">
        <v>98.568100000000001</v>
      </c>
      <c r="V64" s="6">
        <v>15</v>
      </c>
      <c r="W64" s="20">
        <v>37.200000000000003</v>
      </c>
      <c r="X64" s="20">
        <v>51.2</v>
      </c>
      <c r="Y64" s="22">
        <v>3.0617283950617287</v>
      </c>
      <c r="Z64" s="22">
        <v>2.5548902195608787</v>
      </c>
      <c r="AA64" s="20">
        <v>209.59452977908839</v>
      </c>
      <c r="AB64" s="20">
        <v>210.75664936000001</v>
      </c>
      <c r="AC64" s="18">
        <v>0.99448596481088214</v>
      </c>
      <c r="AD64" s="18">
        <v>1.1621195809116216</v>
      </c>
      <c r="AE64" s="56">
        <v>1.252146453880514</v>
      </c>
    </row>
    <row r="65" spans="1:31" x14ac:dyDescent="0.3">
      <c r="A65" s="47">
        <v>33112</v>
      </c>
      <c r="B65" s="80" t="s">
        <v>67</v>
      </c>
      <c r="C65" s="7" t="s">
        <v>43</v>
      </c>
      <c r="D65" s="7" t="s">
        <v>49</v>
      </c>
      <c r="E65" s="7" t="s">
        <v>46</v>
      </c>
      <c r="F65" s="50">
        <v>16</v>
      </c>
      <c r="G65" s="17">
        <v>232.57</v>
      </c>
      <c r="H65" s="6">
        <v>175</v>
      </c>
      <c r="I65" s="56">
        <v>132.89714285714285</v>
      </c>
      <c r="J65" s="19">
        <v>3.23</v>
      </c>
      <c r="K65" s="18">
        <v>6.08</v>
      </c>
      <c r="L65" s="18">
        <v>124.08163265306123</v>
      </c>
      <c r="M65" s="20">
        <v>16.2</v>
      </c>
      <c r="N65" s="20">
        <v>151.08029739999998</v>
      </c>
      <c r="O65" s="62">
        <v>8.6331598514285695</v>
      </c>
      <c r="P65" s="20">
        <v>155.76130000000001</v>
      </c>
      <c r="Q65" s="20">
        <v>71.104299999999995</v>
      </c>
      <c r="R65" s="20">
        <v>108.22310466</v>
      </c>
      <c r="S65" s="20">
        <v>49.062915601023022</v>
      </c>
      <c r="T65" s="21">
        <v>1.9183600000000001</v>
      </c>
      <c r="U65" s="20">
        <v>103.51600000000001</v>
      </c>
      <c r="V65" s="6">
        <v>16</v>
      </c>
      <c r="W65" s="20">
        <v>39.6</v>
      </c>
      <c r="X65" s="20">
        <v>52.8</v>
      </c>
      <c r="Y65" s="22">
        <v>3.2592592592592591</v>
      </c>
      <c r="Z65" s="22">
        <v>2.634730538922156</v>
      </c>
      <c r="AA65" s="20">
        <v>179.03853805226569</v>
      </c>
      <c r="AB65" s="20">
        <v>179.32740466000001</v>
      </c>
      <c r="AC65" s="18">
        <v>0.99838916640609388</v>
      </c>
      <c r="AD65" s="18">
        <v>0.28886660773432027</v>
      </c>
      <c r="AE65" s="56">
        <v>1.1029012782287995</v>
      </c>
    </row>
    <row r="66" spans="1:31" ht="15" thickBot="1" x14ac:dyDescent="0.35">
      <c r="A66" s="82">
        <v>33112</v>
      </c>
      <c r="B66" s="79" t="s">
        <v>67</v>
      </c>
      <c r="C66" s="32" t="s">
        <v>43</v>
      </c>
      <c r="D66" s="32" t="s">
        <v>49</v>
      </c>
      <c r="E66" s="32" t="s">
        <v>47</v>
      </c>
      <c r="F66" s="51">
        <v>17</v>
      </c>
      <c r="G66" s="39">
        <v>178.5</v>
      </c>
      <c r="H66" s="33">
        <v>155</v>
      </c>
      <c r="I66" s="58">
        <v>115.16129032258064</v>
      </c>
      <c r="J66" s="41">
        <v>3.2</v>
      </c>
      <c r="K66" s="40">
        <v>6.07</v>
      </c>
      <c r="L66" s="40">
        <v>123.87755102040816</v>
      </c>
      <c r="M66" s="42">
        <v>14.8</v>
      </c>
      <c r="N66" s="42">
        <v>135.97655839999999</v>
      </c>
      <c r="O66" s="64">
        <v>7.7700890514285703</v>
      </c>
      <c r="P66" s="42">
        <v>140.07329999999999</v>
      </c>
      <c r="Q66" s="42">
        <v>69.729699999999994</v>
      </c>
      <c r="R66" s="42">
        <v>111.96810614</v>
      </c>
      <c r="S66" s="42">
        <v>48.655754475703326</v>
      </c>
      <c r="T66" s="43">
        <v>1.9024400000000001</v>
      </c>
      <c r="U66" s="42">
        <v>107.352</v>
      </c>
      <c r="V66" s="33">
        <v>17</v>
      </c>
      <c r="W66" s="42">
        <v>41.2</v>
      </c>
      <c r="X66" s="42">
        <v>57.6</v>
      </c>
      <c r="Y66" s="44">
        <v>3.3909465020576133</v>
      </c>
      <c r="Z66" s="44">
        <v>2.874251497005988</v>
      </c>
      <c r="AA66" s="42">
        <v>178.79850349517508</v>
      </c>
      <c r="AB66" s="42">
        <v>181.69780614000001</v>
      </c>
      <c r="AC66" s="40">
        <v>0.98404327104207856</v>
      </c>
      <c r="AD66" s="40">
        <v>2.8993026448249282</v>
      </c>
      <c r="AE66" s="58">
        <v>1.1506152493834234</v>
      </c>
    </row>
    <row r="67" spans="1:31" ht="15" thickTop="1" x14ac:dyDescent="0.3">
      <c r="A67" s="48">
        <v>33119</v>
      </c>
      <c r="B67" s="80" t="s">
        <v>68</v>
      </c>
      <c r="C67" s="7" t="s">
        <v>43</v>
      </c>
      <c r="D67" s="7" t="s">
        <v>44</v>
      </c>
      <c r="E67" s="7" t="s">
        <v>45</v>
      </c>
      <c r="F67" s="49">
        <v>9</v>
      </c>
      <c r="G67" s="14">
        <v>218.38</v>
      </c>
      <c r="H67" s="2">
        <v>179</v>
      </c>
      <c r="I67" s="55">
        <v>122</v>
      </c>
      <c r="J67" s="15">
        <v>3.11</v>
      </c>
      <c r="K67" s="13">
        <v>6.82</v>
      </c>
      <c r="L67" s="13">
        <v>139.18367346938777</v>
      </c>
      <c r="M67" s="4">
        <v>17.2</v>
      </c>
      <c r="N67" s="4">
        <v>161.96428639999999</v>
      </c>
      <c r="O67" s="61">
        <v>9.2551020800000003</v>
      </c>
      <c r="P67" s="4">
        <v>164.4323</v>
      </c>
      <c r="Q67" s="4">
        <v>79.430000000000007</v>
      </c>
      <c r="R67" s="4">
        <v>87.877766000000008</v>
      </c>
      <c r="S67" s="4">
        <v>23.411764705882351</v>
      </c>
      <c r="T67" s="16">
        <v>0.91539999999999999</v>
      </c>
      <c r="U67" s="4">
        <v>82.619500000000002</v>
      </c>
      <c r="V67" s="2">
        <v>9</v>
      </c>
      <c r="W67" s="4">
        <v>35.200000000000003</v>
      </c>
      <c r="X67" s="4">
        <v>45.2</v>
      </c>
      <c r="Y67" s="5">
        <v>2.8971193415637861</v>
      </c>
      <c r="Z67" s="5">
        <v>2.2554890219560879</v>
      </c>
      <c r="AA67" s="4">
        <v>167.74804653878999</v>
      </c>
      <c r="AB67" s="4">
        <v>167.30776600000002</v>
      </c>
      <c r="AC67" s="13">
        <v>1.0026315606819469</v>
      </c>
      <c r="AD67" s="13">
        <v>-0.44028053878997753</v>
      </c>
      <c r="AE67" s="55">
        <v>1.8767864597989952</v>
      </c>
    </row>
    <row r="68" spans="1:31" x14ac:dyDescent="0.3">
      <c r="A68" s="47">
        <v>33119</v>
      </c>
      <c r="B68" s="80" t="s">
        <v>68</v>
      </c>
      <c r="C68" s="3" t="s">
        <v>43</v>
      </c>
      <c r="D68" s="3" t="s">
        <v>44</v>
      </c>
      <c r="E68" s="7" t="s">
        <v>46</v>
      </c>
      <c r="F68" s="50">
        <v>10</v>
      </c>
      <c r="G68" s="17">
        <v>217.08</v>
      </c>
      <c r="H68" s="6">
        <v>165</v>
      </c>
      <c r="I68" s="56">
        <v>131.56363636363636</v>
      </c>
      <c r="J68" s="19">
        <v>3.11</v>
      </c>
      <c r="K68" s="18">
        <v>6.83</v>
      </c>
      <c r="L68" s="18">
        <v>139.38775510204081</v>
      </c>
      <c r="M68" s="20">
        <v>17.2</v>
      </c>
      <c r="N68" s="20">
        <v>161.96428639999999</v>
      </c>
      <c r="O68" s="62">
        <v>9.2551020800000003</v>
      </c>
      <c r="P68" s="20">
        <v>167.38470000000001</v>
      </c>
      <c r="Q68" s="20">
        <v>79.758399999999995</v>
      </c>
      <c r="R68" s="20">
        <v>88.457206079999992</v>
      </c>
      <c r="S68" s="20">
        <v>24.836828644501278</v>
      </c>
      <c r="T68" s="21">
        <v>0.97111999999999998</v>
      </c>
      <c r="U68" s="20">
        <v>83.177199999999999</v>
      </c>
      <c r="V68" s="6">
        <v>10</v>
      </c>
      <c r="W68" s="20">
        <v>34.4</v>
      </c>
      <c r="X68" s="20">
        <v>40.4</v>
      </c>
      <c r="Y68" s="22">
        <v>2.831275720164609</v>
      </c>
      <c r="Z68" s="22">
        <v>2.0159680638722555</v>
      </c>
      <c r="AA68" s="20">
        <v>169.07182753057896</v>
      </c>
      <c r="AB68" s="20">
        <v>168.21560607999999</v>
      </c>
      <c r="AC68" s="18">
        <v>1.0050900238719336</v>
      </c>
      <c r="AD68" s="18">
        <v>-0.85622145057897114</v>
      </c>
      <c r="AE68" s="56">
        <v>1.7807669277370457</v>
      </c>
    </row>
    <row r="69" spans="1:31" x14ac:dyDescent="0.3">
      <c r="A69" s="47">
        <v>33119</v>
      </c>
      <c r="B69" s="80" t="s">
        <v>68</v>
      </c>
      <c r="C69" s="3" t="s">
        <v>43</v>
      </c>
      <c r="D69" s="7" t="s">
        <v>44</v>
      </c>
      <c r="E69" s="7" t="s">
        <v>47</v>
      </c>
      <c r="F69" s="50">
        <v>11</v>
      </c>
      <c r="G69" s="17">
        <v>241.31</v>
      </c>
      <c r="H69" s="6">
        <v>188</v>
      </c>
      <c r="I69" s="56">
        <v>128.35638297872342</v>
      </c>
      <c r="J69" s="19">
        <v>3.19</v>
      </c>
      <c r="K69" s="18">
        <v>6.09</v>
      </c>
      <c r="L69" s="18">
        <v>124.28571428571428</v>
      </c>
      <c r="M69" s="20">
        <v>17.8</v>
      </c>
      <c r="N69" s="20">
        <v>168.53292139999999</v>
      </c>
      <c r="O69" s="62">
        <v>9.6304526514285715</v>
      </c>
      <c r="P69" s="20">
        <v>170.78309999999999</v>
      </c>
      <c r="Q69" s="20">
        <v>61.406599999999997</v>
      </c>
      <c r="R69" s="20">
        <v>94.580216919999998</v>
      </c>
      <c r="S69" s="20">
        <v>29.112020460358053</v>
      </c>
      <c r="T69" s="21">
        <v>1.13828</v>
      </c>
      <c r="U69" s="20">
        <v>90.515100000000004</v>
      </c>
      <c r="V69" s="6">
        <v>11</v>
      </c>
      <c r="W69" s="20">
        <v>38.799999999999997</v>
      </c>
      <c r="X69" s="20">
        <v>45.6</v>
      </c>
      <c r="Y69" s="22">
        <v>3.193415637860082</v>
      </c>
      <c r="Z69" s="22">
        <v>2.2754491017964069</v>
      </c>
      <c r="AA69" s="20">
        <v>158.86659948572881</v>
      </c>
      <c r="AB69" s="20">
        <v>155.98681692</v>
      </c>
      <c r="AC69" s="18">
        <v>1.0184617047939748</v>
      </c>
      <c r="AD69" s="18">
        <v>-2.8797825657288172</v>
      </c>
      <c r="AE69" s="56">
        <v>1.6244186323101524</v>
      </c>
    </row>
    <row r="70" spans="1:31" x14ac:dyDescent="0.3">
      <c r="A70" s="47">
        <v>33119</v>
      </c>
      <c r="B70" s="80" t="s">
        <v>68</v>
      </c>
      <c r="C70" s="3" t="s">
        <v>43</v>
      </c>
      <c r="D70" s="7" t="s">
        <v>48</v>
      </c>
      <c r="E70" s="23" t="s">
        <v>45</v>
      </c>
      <c r="F70" s="52">
        <v>12</v>
      </c>
      <c r="G70" s="25">
        <v>209.78</v>
      </c>
      <c r="H70" s="24">
        <v>155</v>
      </c>
      <c r="I70" s="57">
        <v>135.34193548387097</v>
      </c>
      <c r="J70" s="27">
        <v>3.23</v>
      </c>
      <c r="K70" s="26">
        <v>6.51</v>
      </c>
      <c r="L70" s="26">
        <v>132.85714285714283</v>
      </c>
      <c r="M70" s="28">
        <v>17</v>
      </c>
      <c r="N70" s="28">
        <v>159.78111499999997</v>
      </c>
      <c r="O70" s="63">
        <v>9.1303494285714262</v>
      </c>
      <c r="P70" s="28">
        <v>162.5821</v>
      </c>
      <c r="Q70" s="28">
        <v>69.035799999999995</v>
      </c>
      <c r="R70" s="28">
        <v>104.45076996</v>
      </c>
      <c r="S70" s="28">
        <v>38.680306905370841</v>
      </c>
      <c r="T70" s="29">
        <v>1.5124</v>
      </c>
      <c r="U70" s="28">
        <v>99.880600000000001</v>
      </c>
      <c r="V70" s="24">
        <v>12</v>
      </c>
      <c r="W70" s="28">
        <v>39.6</v>
      </c>
      <c r="X70" s="28">
        <v>47.6</v>
      </c>
      <c r="Y70" s="30">
        <v>3.2592592592592591</v>
      </c>
      <c r="Z70" s="30">
        <v>2.3752495009980037</v>
      </c>
      <c r="AA70" s="28">
        <v>177.17195852277095</v>
      </c>
      <c r="AB70" s="28">
        <v>173.48656996</v>
      </c>
      <c r="AC70" s="26">
        <v>1.0212430769921883</v>
      </c>
      <c r="AD70" s="26">
        <v>-3.6853885627709531</v>
      </c>
      <c r="AE70" s="57">
        <v>1.3501802120589792</v>
      </c>
    </row>
    <row r="71" spans="1:31" x14ac:dyDescent="0.3">
      <c r="A71" s="47">
        <v>33119</v>
      </c>
      <c r="B71" s="80" t="s">
        <v>68</v>
      </c>
      <c r="C71" s="7" t="s">
        <v>43</v>
      </c>
      <c r="D71" s="7" t="s">
        <v>48</v>
      </c>
      <c r="E71" s="7" t="s">
        <v>46</v>
      </c>
      <c r="F71" s="50">
        <v>13</v>
      </c>
      <c r="G71" s="17">
        <v>241.29</v>
      </c>
      <c r="H71" s="6">
        <v>187</v>
      </c>
      <c r="I71" s="56">
        <v>129.03208556149733</v>
      </c>
      <c r="J71" s="19">
        <v>3.32</v>
      </c>
      <c r="K71" s="18">
        <v>5.65</v>
      </c>
      <c r="L71" s="18">
        <v>115.30612244897961</v>
      </c>
      <c r="M71" s="20">
        <v>16.600000000000001</v>
      </c>
      <c r="N71" s="20">
        <v>155.42433259999999</v>
      </c>
      <c r="O71" s="62">
        <v>8.8813904342857128</v>
      </c>
      <c r="P71" s="20">
        <v>157.98220000000001</v>
      </c>
      <c r="Q71" s="20">
        <v>55.324399999999997</v>
      </c>
      <c r="R71" s="20">
        <v>101.41767528</v>
      </c>
      <c r="S71" s="20">
        <v>43.566240409207161</v>
      </c>
      <c r="T71" s="21">
        <v>1.7034400000000001</v>
      </c>
      <c r="U71" s="20">
        <v>97.755200000000002</v>
      </c>
      <c r="V71" s="6">
        <v>13</v>
      </c>
      <c r="W71" s="20">
        <v>42.8</v>
      </c>
      <c r="X71" s="20">
        <v>52</v>
      </c>
      <c r="Y71" s="22">
        <v>3.5226337448559675</v>
      </c>
      <c r="Z71" s="22">
        <v>2.5948103792415171</v>
      </c>
      <c r="AA71" s="20">
        <v>164.98980698228425</v>
      </c>
      <c r="AB71" s="20">
        <v>156.74207527999999</v>
      </c>
      <c r="AC71" s="18">
        <v>1.0526197684160474</v>
      </c>
      <c r="AD71" s="18">
        <v>-8.2477317022842556</v>
      </c>
      <c r="AE71" s="56">
        <v>1.1639479827431549</v>
      </c>
    </row>
    <row r="72" spans="1:31" x14ac:dyDescent="0.3">
      <c r="A72" s="47">
        <v>33119</v>
      </c>
      <c r="B72" s="80" t="s">
        <v>68</v>
      </c>
      <c r="C72" s="7" t="s">
        <v>43</v>
      </c>
      <c r="D72" s="7" t="s">
        <v>48</v>
      </c>
      <c r="E72" s="7" t="s">
        <v>47</v>
      </c>
      <c r="F72" s="50">
        <v>14</v>
      </c>
      <c r="G72" s="17">
        <v>255.65</v>
      </c>
      <c r="H72" s="6">
        <v>194</v>
      </c>
      <c r="I72" s="56">
        <v>131.77835051546393</v>
      </c>
      <c r="J72" s="19">
        <v>3.26</v>
      </c>
      <c r="K72" s="18">
        <v>6</v>
      </c>
      <c r="L72" s="18">
        <v>122.44897959183673</v>
      </c>
      <c r="M72" s="20">
        <v>16.5</v>
      </c>
      <c r="N72" s="20">
        <v>154.33712874999998</v>
      </c>
      <c r="O72" s="62">
        <v>8.8192644999999992</v>
      </c>
      <c r="P72" s="20">
        <v>156.43780000000001</v>
      </c>
      <c r="Q72" s="20">
        <v>58.832700000000003</v>
      </c>
      <c r="R72" s="20">
        <v>104.33422474</v>
      </c>
      <c r="S72" s="20">
        <v>39.087468030690538</v>
      </c>
      <c r="T72" s="21">
        <v>1.5283199999999999</v>
      </c>
      <c r="U72" s="20">
        <v>100.4395</v>
      </c>
      <c r="V72" s="6">
        <v>14</v>
      </c>
      <c r="W72" s="20">
        <v>38.799999999999997</v>
      </c>
      <c r="X72" s="20">
        <v>45.2</v>
      </c>
      <c r="Y72" s="22">
        <v>3.193415637860082</v>
      </c>
      <c r="Z72" s="22">
        <v>2.2554890219560879</v>
      </c>
      <c r="AA72" s="20">
        <v>166.98535228234346</v>
      </c>
      <c r="AB72" s="20">
        <v>163.16692474000001</v>
      </c>
      <c r="AC72" s="18">
        <v>1.0234019703958259</v>
      </c>
      <c r="AD72" s="18">
        <v>-3.8184275423434428</v>
      </c>
      <c r="AE72" s="56">
        <v>1.3346250089424989</v>
      </c>
    </row>
    <row r="73" spans="1:31" x14ac:dyDescent="0.3">
      <c r="A73" s="47">
        <v>33119</v>
      </c>
      <c r="B73" s="80" t="s">
        <v>68</v>
      </c>
      <c r="C73" s="7" t="s">
        <v>43</v>
      </c>
      <c r="D73" s="7" t="s">
        <v>49</v>
      </c>
      <c r="E73" s="7" t="s">
        <v>45</v>
      </c>
      <c r="F73" s="50">
        <v>15</v>
      </c>
      <c r="G73" s="17">
        <v>240.94</v>
      </c>
      <c r="H73" s="6">
        <v>180</v>
      </c>
      <c r="I73" s="56">
        <v>133.85555555555555</v>
      </c>
      <c r="J73" s="19">
        <v>3.22</v>
      </c>
      <c r="K73" s="18">
        <v>7.06</v>
      </c>
      <c r="L73" s="18">
        <v>144.08163265306121</v>
      </c>
      <c r="M73" s="20">
        <v>16.2</v>
      </c>
      <c r="N73" s="20">
        <v>151.08029739999998</v>
      </c>
      <c r="O73" s="62">
        <v>8.6331598514285695</v>
      </c>
      <c r="P73" s="20">
        <v>153.6097</v>
      </c>
      <c r="Q73" s="20">
        <v>88.195400000000006</v>
      </c>
      <c r="R73" s="20">
        <v>99.855635480000004</v>
      </c>
      <c r="S73" s="20">
        <v>42.141176470588228</v>
      </c>
      <c r="T73" s="21">
        <v>1.6477199999999999</v>
      </c>
      <c r="U73" s="20">
        <v>94.017099999999999</v>
      </c>
      <c r="V73" s="6">
        <v>15</v>
      </c>
      <c r="W73" s="20">
        <v>39.200000000000003</v>
      </c>
      <c r="X73" s="20">
        <v>44</v>
      </c>
      <c r="Y73" s="22">
        <v>3.2263374485596708</v>
      </c>
      <c r="Z73" s="22">
        <v>2.19560878243513</v>
      </c>
      <c r="AA73" s="20">
        <v>191.64475535464422</v>
      </c>
      <c r="AB73" s="20">
        <v>188.05103548</v>
      </c>
      <c r="AC73" s="18">
        <v>1.0191103434526232</v>
      </c>
      <c r="AD73" s="18">
        <v>-3.593719874644222</v>
      </c>
      <c r="AE73" s="56">
        <v>1.1847751278336127</v>
      </c>
    </row>
    <row r="74" spans="1:31" x14ac:dyDescent="0.3">
      <c r="A74" s="47">
        <v>33119</v>
      </c>
      <c r="B74" s="80" t="s">
        <v>68</v>
      </c>
      <c r="C74" s="7" t="s">
        <v>43</v>
      </c>
      <c r="D74" s="7" t="s">
        <v>49</v>
      </c>
      <c r="E74" s="23" t="s">
        <v>46</v>
      </c>
      <c r="F74" s="52">
        <v>16</v>
      </c>
      <c r="G74" s="25">
        <v>247.13</v>
      </c>
      <c r="H74" s="24">
        <v>173</v>
      </c>
      <c r="I74" s="57">
        <v>142.84971098265896</v>
      </c>
      <c r="J74" s="27">
        <v>3.39</v>
      </c>
      <c r="K74" s="26">
        <v>5.32</v>
      </c>
      <c r="L74" s="26">
        <v>108.57142857142858</v>
      </c>
      <c r="M74" s="28">
        <v>17.100000000000001</v>
      </c>
      <c r="N74" s="28">
        <v>160.87230235000001</v>
      </c>
      <c r="O74" s="63">
        <v>9.1927029914285718</v>
      </c>
      <c r="P74" s="28">
        <v>162.19579999999999</v>
      </c>
      <c r="Q74" s="28">
        <v>60.997199999999999</v>
      </c>
      <c r="R74" s="28">
        <v>102.33871464000001</v>
      </c>
      <c r="S74" s="28">
        <v>50.691560102301793</v>
      </c>
      <c r="T74" s="29">
        <v>1.9820400000000002</v>
      </c>
      <c r="U74" s="28">
        <v>98.300700000000006</v>
      </c>
      <c r="V74" s="24">
        <v>16</v>
      </c>
      <c r="W74" s="28">
        <v>40</v>
      </c>
      <c r="X74" s="28">
        <v>45.6</v>
      </c>
      <c r="Y74" s="30">
        <v>3.2921810699588478</v>
      </c>
      <c r="Z74" s="30">
        <v>2.2754491017964069</v>
      </c>
      <c r="AA74" s="28">
        <v>164.83061884548562</v>
      </c>
      <c r="AB74" s="28">
        <v>163.33591464</v>
      </c>
      <c r="AC74" s="26">
        <v>1.009151105614341</v>
      </c>
      <c r="AD74" s="26">
        <v>-1.4947042054856183</v>
      </c>
      <c r="AE74" s="57">
        <v>1.0094255772900649</v>
      </c>
    </row>
    <row r="75" spans="1:31" x14ac:dyDescent="0.3">
      <c r="A75" s="47">
        <v>33119</v>
      </c>
      <c r="B75" s="80" t="s">
        <v>68</v>
      </c>
      <c r="C75" s="7" t="s">
        <v>43</v>
      </c>
      <c r="D75" s="7" t="s">
        <v>49</v>
      </c>
      <c r="E75" s="81" t="s">
        <v>47</v>
      </c>
      <c r="F75" s="50">
        <v>17</v>
      </c>
      <c r="G75" s="17">
        <v>200.53</v>
      </c>
      <c r="H75" s="31">
        <v>166</v>
      </c>
      <c r="I75" s="56">
        <v>120.80120481927712</v>
      </c>
      <c r="J75" s="19">
        <v>3.29</v>
      </c>
      <c r="K75" s="85">
        <v>5.64</v>
      </c>
      <c r="L75" s="85">
        <v>115.10204081632652</v>
      </c>
      <c r="M75" s="86">
        <v>15.8</v>
      </c>
      <c r="N75" s="86">
        <v>146.74900940000001</v>
      </c>
      <c r="O75" s="62">
        <v>8.3856576799999996</v>
      </c>
      <c r="P75" s="86">
        <v>149.50829999999999</v>
      </c>
      <c r="Q75" s="86">
        <v>59.293799999999997</v>
      </c>
      <c r="R75" s="86">
        <v>110.49824955999999</v>
      </c>
      <c r="S75" s="86">
        <v>48.452173913043474</v>
      </c>
      <c r="T75" s="87">
        <v>1.8944799999999999</v>
      </c>
      <c r="U75" s="86">
        <v>106.57299999999999</v>
      </c>
      <c r="V75" s="31">
        <v>17</v>
      </c>
      <c r="W75" s="86">
        <v>41.6</v>
      </c>
      <c r="X75" s="86">
        <v>45.2</v>
      </c>
      <c r="Y75" s="88">
        <v>3.4238683127572016</v>
      </c>
      <c r="Z75" s="88">
        <v>2.2554890219560879</v>
      </c>
      <c r="AA75" s="86">
        <v>169.23357206408329</v>
      </c>
      <c r="AB75" s="86">
        <v>169.79204955999998</v>
      </c>
      <c r="AC75" s="85">
        <v>0.99671081480337897</v>
      </c>
      <c r="AD75" s="85">
        <v>0.55847749591669071</v>
      </c>
      <c r="AE75" s="56">
        <v>1.1402816492641781</v>
      </c>
    </row>
    <row r="76" spans="1:31" x14ac:dyDescent="0.3">
      <c r="A76" s="47">
        <v>33126</v>
      </c>
      <c r="B76" s="80" t="s">
        <v>69</v>
      </c>
      <c r="C76" s="7" t="s">
        <v>43</v>
      </c>
      <c r="D76" s="7" t="s">
        <v>44</v>
      </c>
      <c r="E76" s="7" t="s">
        <v>45</v>
      </c>
      <c r="F76" s="50">
        <v>9</v>
      </c>
      <c r="G76" s="17">
        <v>248.2</v>
      </c>
      <c r="H76" s="6">
        <v>194</v>
      </c>
      <c r="I76" s="56">
        <v>127.9381443298969</v>
      </c>
      <c r="J76" s="19">
        <v>3.19</v>
      </c>
      <c r="K76" s="18">
        <v>5.72</v>
      </c>
      <c r="L76" s="18">
        <v>116.73469387755102</v>
      </c>
      <c r="M76" s="20">
        <v>18.399999999999999</v>
      </c>
      <c r="N76" s="20">
        <v>175.13023759999996</v>
      </c>
      <c r="O76" s="62">
        <v>10.007442148571426</v>
      </c>
      <c r="P76" s="20">
        <v>176.51519999999999</v>
      </c>
      <c r="Q76" s="20">
        <v>61.089100000000002</v>
      </c>
      <c r="R76" s="20">
        <v>83.508898419999994</v>
      </c>
      <c r="S76" s="20">
        <v>25.447570332480819</v>
      </c>
      <c r="T76" s="21">
        <v>0.995</v>
      </c>
      <c r="U76" s="20">
        <v>79.464799999999997</v>
      </c>
      <c r="V76" s="6">
        <v>9</v>
      </c>
      <c r="W76" s="20">
        <v>38.4</v>
      </c>
      <c r="X76" s="20">
        <v>38</v>
      </c>
      <c r="Y76" s="22">
        <v>3.1604938271604937</v>
      </c>
      <c r="Z76" s="22">
        <v>1.8962075848303395</v>
      </c>
      <c r="AA76" s="20">
        <v>147.23896562202265</v>
      </c>
      <c r="AB76" s="20">
        <v>144.59799842000001</v>
      </c>
      <c r="AC76" s="18">
        <v>1.0182642030379403</v>
      </c>
      <c r="AD76" s="18">
        <v>-2.6409672020226367</v>
      </c>
      <c r="AE76" s="56">
        <v>1.6408029790060301</v>
      </c>
    </row>
    <row r="77" spans="1:31" x14ac:dyDescent="0.3">
      <c r="A77" s="47">
        <v>33126</v>
      </c>
      <c r="B77" s="80" t="s">
        <v>69</v>
      </c>
      <c r="C77" s="7" t="s">
        <v>43</v>
      </c>
      <c r="D77" s="7" t="s">
        <v>44</v>
      </c>
      <c r="E77" s="7" t="s">
        <v>46</v>
      </c>
      <c r="F77" s="50">
        <v>10</v>
      </c>
      <c r="G77" s="17">
        <v>241.5</v>
      </c>
      <c r="H77" s="6">
        <v>180</v>
      </c>
      <c r="I77" s="56">
        <v>134.16666666666666</v>
      </c>
      <c r="J77" s="19">
        <v>3.19</v>
      </c>
      <c r="K77" s="18">
        <v>5.84</v>
      </c>
      <c r="L77" s="18">
        <v>119.18367346938776</v>
      </c>
      <c r="M77" s="20">
        <v>18.2</v>
      </c>
      <c r="N77" s="20">
        <v>172.92794539999997</v>
      </c>
      <c r="O77" s="62">
        <v>9.8815968799999983</v>
      </c>
      <c r="P77" s="20">
        <v>175.9091</v>
      </c>
      <c r="Q77" s="20">
        <v>63.566600000000001</v>
      </c>
      <c r="R77" s="20">
        <v>84.645108919999998</v>
      </c>
      <c r="S77" s="20">
        <v>26.465473145780049</v>
      </c>
      <c r="T77" s="21">
        <v>1.0347999999999999</v>
      </c>
      <c r="U77" s="20">
        <v>80.436999999999998</v>
      </c>
      <c r="V77" s="6">
        <v>10</v>
      </c>
      <c r="W77" s="20">
        <v>39.200000000000003</v>
      </c>
      <c r="X77" s="20">
        <v>39.200000000000003</v>
      </c>
      <c r="Y77" s="22">
        <v>3.2263374485596708</v>
      </c>
      <c r="Z77" s="22">
        <v>1.9560878243512976</v>
      </c>
      <c r="AA77" s="20">
        <v>150.83157188807877</v>
      </c>
      <c r="AB77" s="20">
        <v>148.21170892000001</v>
      </c>
      <c r="AC77" s="18">
        <v>1.0176764911974188</v>
      </c>
      <c r="AD77" s="18">
        <v>-2.6198629680787633</v>
      </c>
      <c r="AE77" s="56">
        <v>1.5991610740104369</v>
      </c>
    </row>
    <row r="78" spans="1:31" x14ac:dyDescent="0.3">
      <c r="A78" s="47">
        <v>33126</v>
      </c>
      <c r="B78" s="80" t="s">
        <v>69</v>
      </c>
      <c r="C78" s="7" t="s">
        <v>43</v>
      </c>
      <c r="D78" s="7" t="s">
        <v>44</v>
      </c>
      <c r="E78" s="7" t="s">
        <v>47</v>
      </c>
      <c r="F78" s="50">
        <v>11</v>
      </c>
      <c r="G78" s="17">
        <v>264.10000000000002</v>
      </c>
      <c r="H78" s="6">
        <v>191</v>
      </c>
      <c r="I78" s="56">
        <v>138.27225130890054</v>
      </c>
      <c r="J78" s="19">
        <v>3.29</v>
      </c>
      <c r="K78" s="18">
        <v>5.07</v>
      </c>
      <c r="L78" s="18">
        <v>103.46938775510205</v>
      </c>
      <c r="M78" s="20">
        <v>19</v>
      </c>
      <c r="N78" s="20">
        <v>181.756235</v>
      </c>
      <c r="O78" s="62">
        <v>10.386070571428572</v>
      </c>
      <c r="P78" s="20">
        <v>182.441</v>
      </c>
      <c r="Q78" s="20">
        <v>47.210599999999999</v>
      </c>
      <c r="R78" s="20">
        <v>83.271441719999999</v>
      </c>
      <c r="S78" s="20">
        <v>29.51918158567775</v>
      </c>
      <c r="T78" s="21">
        <v>1.1542000000000001</v>
      </c>
      <c r="U78" s="20">
        <v>80.146100000000004</v>
      </c>
      <c r="V78" s="6">
        <v>11</v>
      </c>
      <c r="W78" s="20">
        <v>40.799999999999997</v>
      </c>
      <c r="X78" s="20">
        <v>39.200000000000003</v>
      </c>
      <c r="Y78" s="22">
        <v>3.3580246913580245</v>
      </c>
      <c r="Z78" s="22">
        <v>1.9560878243512976</v>
      </c>
      <c r="AA78" s="20">
        <v>138.30268185648913</v>
      </c>
      <c r="AB78" s="20">
        <v>130.48204171999998</v>
      </c>
      <c r="AC78" s="18">
        <v>1.0599365248535226</v>
      </c>
      <c r="AD78" s="18">
        <v>-7.8206401364891462</v>
      </c>
      <c r="AE78" s="56">
        <v>1.4104632521452087</v>
      </c>
    </row>
    <row r="79" spans="1:31" x14ac:dyDescent="0.3">
      <c r="A79" s="47">
        <v>33126</v>
      </c>
      <c r="B79" s="80" t="s">
        <v>69</v>
      </c>
      <c r="C79" s="7" t="s">
        <v>43</v>
      </c>
      <c r="D79" s="7" t="s">
        <v>48</v>
      </c>
      <c r="E79" s="7" t="s">
        <v>45</v>
      </c>
      <c r="F79" s="50">
        <v>12</v>
      </c>
      <c r="G79" s="17">
        <v>224.8</v>
      </c>
      <c r="H79" s="6">
        <v>153</v>
      </c>
      <c r="I79" s="56">
        <v>146.92810457516342</v>
      </c>
      <c r="J79" s="19">
        <v>3.31</v>
      </c>
      <c r="K79" s="18">
        <v>5.67</v>
      </c>
      <c r="L79" s="18">
        <v>115.71428571428571</v>
      </c>
      <c r="M79" s="20">
        <v>18.399999999999999</v>
      </c>
      <c r="N79" s="20">
        <v>175.13023759999996</v>
      </c>
      <c r="O79" s="62">
        <v>10.007442148571426</v>
      </c>
      <c r="P79" s="20">
        <v>174.04920000000001</v>
      </c>
      <c r="Q79" s="20">
        <v>60.420999999999999</v>
      </c>
      <c r="R79" s="20">
        <v>96.85407020000001</v>
      </c>
      <c r="S79" s="20">
        <v>41.123273657289005</v>
      </c>
      <c r="T79" s="21">
        <v>1.60792</v>
      </c>
      <c r="U79" s="20">
        <v>92.854200000000006</v>
      </c>
      <c r="V79" s="6">
        <v>12</v>
      </c>
      <c r="W79" s="20">
        <v>42.4</v>
      </c>
      <c r="X79" s="20">
        <v>39.6</v>
      </c>
      <c r="Y79" s="22">
        <v>3.4897119341563791</v>
      </c>
      <c r="Z79" s="22">
        <v>1.976047904191617</v>
      </c>
      <c r="AA79" s="20">
        <v>162.30331920992273</v>
      </c>
      <c r="AB79" s="20">
        <v>157.27507020000002</v>
      </c>
      <c r="AC79" s="18">
        <v>1.0319710492166909</v>
      </c>
      <c r="AD79" s="18">
        <v>-5.0282490099227175</v>
      </c>
      <c r="AE79" s="56">
        <v>1.1776065179921886</v>
      </c>
    </row>
    <row r="80" spans="1:31" x14ac:dyDescent="0.3">
      <c r="A80" s="47">
        <v>33126</v>
      </c>
      <c r="B80" s="80" t="s">
        <v>69</v>
      </c>
      <c r="C80" s="7" t="s">
        <v>43</v>
      </c>
      <c r="D80" s="7" t="s">
        <v>48</v>
      </c>
      <c r="E80" s="7" t="s">
        <v>46</v>
      </c>
      <c r="F80" s="50">
        <v>13</v>
      </c>
      <c r="G80" s="17">
        <v>251.8</v>
      </c>
      <c r="H80" s="6">
        <v>185</v>
      </c>
      <c r="I80" s="56">
        <v>136.10810810810813</v>
      </c>
      <c r="J80" s="19">
        <v>3.41</v>
      </c>
      <c r="K80" s="18">
        <v>5.16</v>
      </c>
      <c r="L80" s="18">
        <v>105.30612244897959</v>
      </c>
      <c r="M80" s="20">
        <v>18</v>
      </c>
      <c r="N80" s="20">
        <v>170.72883999999999</v>
      </c>
      <c r="O80" s="62">
        <v>9.7559337142857139</v>
      </c>
      <c r="P80" s="20">
        <v>169.2517</v>
      </c>
      <c r="Q80" s="20">
        <v>49.510100000000001</v>
      </c>
      <c r="R80" s="20">
        <v>97.139368619999999</v>
      </c>
      <c r="S80" s="20">
        <v>46.00920716112531</v>
      </c>
      <c r="T80" s="21">
        <v>1.7989599999999999</v>
      </c>
      <c r="U80" s="20">
        <v>93.861800000000002</v>
      </c>
      <c r="V80" s="6">
        <v>13</v>
      </c>
      <c r="W80" s="20">
        <v>45.6</v>
      </c>
      <c r="X80" s="20">
        <v>46.4</v>
      </c>
      <c r="Y80" s="22">
        <v>3.7530864197530858</v>
      </c>
      <c r="Z80" s="22">
        <v>2.3153692614770458</v>
      </c>
      <c r="AA80" s="20">
        <v>157.38378529133504</v>
      </c>
      <c r="AB80" s="20">
        <v>146.64946861999999</v>
      </c>
      <c r="AC80" s="18">
        <v>1.0731971058084768</v>
      </c>
      <c r="AD80" s="18">
        <v>-10.734316671335051</v>
      </c>
      <c r="AE80" s="56">
        <v>1.0556514077694892</v>
      </c>
    </row>
    <row r="81" spans="1:31" x14ac:dyDescent="0.3">
      <c r="A81" s="47">
        <v>33126</v>
      </c>
      <c r="B81" s="80" t="s">
        <v>69</v>
      </c>
      <c r="C81" s="7" t="s">
        <v>43</v>
      </c>
      <c r="D81" s="7" t="s">
        <v>48</v>
      </c>
      <c r="E81" s="7" t="s">
        <v>47</v>
      </c>
      <c r="F81" s="50">
        <v>14</v>
      </c>
      <c r="G81" s="17">
        <v>263.60000000000002</v>
      </c>
      <c r="H81" s="6">
        <v>192</v>
      </c>
      <c r="I81" s="56">
        <v>137.29166666666669</v>
      </c>
      <c r="J81" s="19">
        <v>3.33</v>
      </c>
      <c r="K81" s="18">
        <v>5.43</v>
      </c>
      <c r="L81" s="18">
        <v>110.81632653061224</v>
      </c>
      <c r="M81" s="20">
        <v>17.600000000000001</v>
      </c>
      <c r="N81" s="20">
        <v>166.3401896</v>
      </c>
      <c r="O81" s="62">
        <v>9.5051536914285712</v>
      </c>
      <c r="P81" s="20">
        <v>163.9922</v>
      </c>
      <c r="Q81" s="20">
        <v>50.522399999999998</v>
      </c>
      <c r="R81" s="20">
        <v>99.05238288000001</v>
      </c>
      <c r="S81" s="20">
        <v>40.512531969309464</v>
      </c>
      <c r="T81" s="21">
        <v>1.5840399999999999</v>
      </c>
      <c r="U81" s="20">
        <v>95.707800000000006</v>
      </c>
      <c r="V81" s="6">
        <v>14</v>
      </c>
      <c r="W81" s="20">
        <v>41.2</v>
      </c>
      <c r="X81" s="20">
        <v>43.2</v>
      </c>
      <c r="Y81" s="22">
        <v>3.3909465020576133</v>
      </c>
      <c r="Z81" s="22">
        <v>2.1556886227544911</v>
      </c>
      <c r="AA81" s="20">
        <v>156.87549362473379</v>
      </c>
      <c r="AB81" s="20">
        <v>149.57478288000001</v>
      </c>
      <c r="AC81" s="18">
        <v>1.0488097699636372</v>
      </c>
      <c r="AD81" s="18">
        <v>-7.3007107447337773</v>
      </c>
      <c r="AE81" s="56">
        <v>1.2224906475240525</v>
      </c>
    </row>
    <row r="82" spans="1:31" x14ac:dyDescent="0.3">
      <c r="A82" s="47">
        <v>33126</v>
      </c>
      <c r="B82" s="80" t="s">
        <v>69</v>
      </c>
      <c r="C82" s="7" t="s">
        <v>43</v>
      </c>
      <c r="D82" s="7" t="s">
        <v>49</v>
      </c>
      <c r="E82" s="7" t="s">
        <v>45</v>
      </c>
      <c r="F82" s="50">
        <v>15</v>
      </c>
      <c r="G82" s="17">
        <v>251.5</v>
      </c>
      <c r="H82" s="6">
        <v>172</v>
      </c>
      <c r="I82" s="56">
        <v>146.22093023255815</v>
      </c>
      <c r="J82" s="19">
        <v>3.31</v>
      </c>
      <c r="K82" s="18">
        <v>6.09</v>
      </c>
      <c r="L82" s="18">
        <v>124.28571428571428</v>
      </c>
      <c r="M82" s="20">
        <v>17.8</v>
      </c>
      <c r="N82" s="20">
        <v>168.53292139999999</v>
      </c>
      <c r="O82" s="62">
        <v>9.6304526514285715</v>
      </c>
      <c r="P82" s="20">
        <v>168.35849999999999</v>
      </c>
      <c r="Q82" s="20">
        <v>71.612700000000004</v>
      </c>
      <c r="R82" s="20">
        <v>92.647360739999996</v>
      </c>
      <c r="S82" s="20">
        <v>43.159079283887465</v>
      </c>
      <c r="T82" s="21">
        <v>1.6875199999999999</v>
      </c>
      <c r="U82" s="20">
        <v>87.906599999999997</v>
      </c>
      <c r="V82" s="6">
        <v>15</v>
      </c>
      <c r="W82" s="20">
        <v>42</v>
      </c>
      <c r="X82" s="20">
        <v>40.4</v>
      </c>
      <c r="Y82" s="22">
        <v>3.4567901234567899</v>
      </c>
      <c r="Z82" s="22">
        <v>2.0159680638722555</v>
      </c>
      <c r="AA82" s="20">
        <v>172.91755175693081</v>
      </c>
      <c r="AB82" s="20">
        <v>164.26006074</v>
      </c>
      <c r="AC82" s="18">
        <v>1.0527060015558765</v>
      </c>
      <c r="AD82" s="18">
        <v>-8.6574910169308055</v>
      </c>
      <c r="AE82" s="56">
        <v>1.0733241102132123</v>
      </c>
    </row>
    <row r="83" spans="1:31" x14ac:dyDescent="0.3">
      <c r="A83" s="47">
        <v>33126</v>
      </c>
      <c r="B83" s="80" t="s">
        <v>69</v>
      </c>
      <c r="C83" s="7" t="s">
        <v>43</v>
      </c>
      <c r="D83" s="7" t="s">
        <v>49</v>
      </c>
      <c r="E83" s="23" t="s">
        <v>46</v>
      </c>
      <c r="F83" s="52">
        <v>16</v>
      </c>
      <c r="G83" s="25">
        <v>266</v>
      </c>
      <c r="H83" s="24">
        <v>182</v>
      </c>
      <c r="I83" s="57">
        <v>146.15384615384613</v>
      </c>
      <c r="J83" s="27">
        <v>3.46</v>
      </c>
      <c r="K83" s="26">
        <v>5.09</v>
      </c>
      <c r="L83" s="26">
        <v>103.87755102040816</v>
      </c>
      <c r="M83" s="28">
        <v>18.399999999999999</v>
      </c>
      <c r="N83" s="28">
        <v>175.13023759999996</v>
      </c>
      <c r="O83" s="63">
        <v>10.007442148571426</v>
      </c>
      <c r="P83" s="28">
        <v>174.76849999999999</v>
      </c>
      <c r="Q83" s="28">
        <v>52.479700000000001</v>
      </c>
      <c r="R83" s="28">
        <v>97.539556140000002</v>
      </c>
      <c r="S83" s="28">
        <v>50.691560102301793</v>
      </c>
      <c r="T83" s="29">
        <v>1.9820400000000002</v>
      </c>
      <c r="U83" s="28">
        <v>94.065399999999997</v>
      </c>
      <c r="V83" s="24">
        <v>16</v>
      </c>
      <c r="W83" s="28">
        <v>43.2</v>
      </c>
      <c r="X83" s="28">
        <v>42.4</v>
      </c>
      <c r="Y83" s="30">
        <v>3.5555555555555558</v>
      </c>
      <c r="Z83" s="30">
        <v>2.1157684630738527</v>
      </c>
      <c r="AA83" s="28">
        <v>160.24043514133936</v>
      </c>
      <c r="AB83" s="28">
        <v>150.01925614000001</v>
      </c>
      <c r="AC83" s="26">
        <v>1.0681324468893567</v>
      </c>
      <c r="AD83" s="26">
        <v>-10.221179001339351</v>
      </c>
      <c r="AE83" s="57">
        <v>0.96208871795574258</v>
      </c>
    </row>
    <row r="84" spans="1:31" x14ac:dyDescent="0.3">
      <c r="A84" s="47">
        <v>33126</v>
      </c>
      <c r="B84" s="80" t="s">
        <v>69</v>
      </c>
      <c r="C84" s="7" t="s">
        <v>43</v>
      </c>
      <c r="D84" s="7" t="s">
        <v>49</v>
      </c>
      <c r="E84" s="81" t="s">
        <v>47</v>
      </c>
      <c r="F84" s="50">
        <v>17</v>
      </c>
      <c r="G84" s="17">
        <v>193.9</v>
      </c>
      <c r="H84" s="31">
        <v>156</v>
      </c>
      <c r="I84" s="56">
        <v>124.2948717948718</v>
      </c>
      <c r="J84" s="19">
        <v>3.43</v>
      </c>
      <c r="K84" s="85">
        <v>5.13</v>
      </c>
      <c r="L84" s="85">
        <v>104.69387755102041</v>
      </c>
      <c r="M84" s="86">
        <v>17.2</v>
      </c>
      <c r="N84" s="86">
        <v>161.96428639999999</v>
      </c>
      <c r="O84" s="62">
        <v>9.2551020800000003</v>
      </c>
      <c r="P84" s="86">
        <v>161.9751</v>
      </c>
      <c r="Q84" s="86">
        <v>49.15</v>
      </c>
      <c r="R84" s="86">
        <v>105.24493000000001</v>
      </c>
      <c r="S84" s="86">
        <v>52.116624040920712</v>
      </c>
      <c r="T84" s="87">
        <v>2.03776</v>
      </c>
      <c r="U84" s="86">
        <v>101.99120000000001</v>
      </c>
      <c r="V84" s="31">
        <v>17</v>
      </c>
      <c r="W84" s="86">
        <v>45.6</v>
      </c>
      <c r="X84" s="86">
        <v>44.4</v>
      </c>
      <c r="Y84" s="88">
        <v>3.7530864197530858</v>
      </c>
      <c r="Z84" s="88">
        <v>2.2155688622754495</v>
      </c>
      <c r="AA84" s="86">
        <v>162.77915687396967</v>
      </c>
      <c r="AB84" s="86">
        <v>154.39493000000002</v>
      </c>
      <c r="AC84" s="85">
        <v>1.0543037706870921</v>
      </c>
      <c r="AD84" s="85">
        <v>-8.3842268739696522</v>
      </c>
      <c r="AE84" s="56">
        <v>1.0097059425545698</v>
      </c>
    </row>
    <row r="85" spans="1:31" ht="15" thickBot="1" x14ac:dyDescent="0.35">
      <c r="A85" s="82">
        <v>33133</v>
      </c>
      <c r="B85" s="79" t="s">
        <v>70</v>
      </c>
      <c r="C85" s="32" t="s">
        <v>43</v>
      </c>
      <c r="D85" s="32" t="s">
        <v>44</v>
      </c>
      <c r="E85" s="32" t="s">
        <v>45</v>
      </c>
      <c r="F85" s="51">
        <v>9</v>
      </c>
      <c r="G85" s="41">
        <v>258.73</v>
      </c>
      <c r="H85" s="33">
        <v>199</v>
      </c>
      <c r="I85" s="58">
        <v>130.01507537688443</v>
      </c>
      <c r="J85" s="41">
        <v>3.18</v>
      </c>
      <c r="K85" s="40">
        <v>5</v>
      </c>
      <c r="L85" s="40">
        <v>102.04081632653062</v>
      </c>
      <c r="M85" s="42">
        <v>19.399999999999999</v>
      </c>
      <c r="N85" s="42">
        <v>186.1895006</v>
      </c>
      <c r="O85" s="64">
        <v>10.639400034285714</v>
      </c>
      <c r="P85" s="42">
        <v>186.0103</v>
      </c>
      <c r="Q85" s="42">
        <v>46.310400000000001</v>
      </c>
      <c r="R85" s="42">
        <v>81.806948480000003</v>
      </c>
      <c r="S85" s="42">
        <v>26.669053708439897</v>
      </c>
      <c r="T85" s="43">
        <v>1.0427599999999999</v>
      </c>
      <c r="U85" s="42">
        <v>78.741200000000006</v>
      </c>
      <c r="V85" s="33">
        <v>9</v>
      </c>
      <c r="W85" s="42">
        <v>40.799999999999997</v>
      </c>
      <c r="X85" s="42">
        <v>38</v>
      </c>
      <c r="Y85" s="44">
        <v>3.3580246913580245</v>
      </c>
      <c r="Z85" s="44">
        <v>1.8962075848303395</v>
      </c>
      <c r="AA85" s="42">
        <v>133.96410231115888</v>
      </c>
      <c r="AB85" s="42">
        <v>128.11734848</v>
      </c>
      <c r="AC85" s="40">
        <v>1.0456359259735351</v>
      </c>
      <c r="AD85" s="40">
        <v>-5.8467538311588783</v>
      </c>
      <c r="AE85" s="58">
        <v>1.5337429924277879</v>
      </c>
    </row>
    <row r="86" spans="1:31" ht="15" thickTop="1" x14ac:dyDescent="0.3">
      <c r="A86" s="48">
        <v>33133</v>
      </c>
      <c r="B86" s="80" t="s">
        <v>70</v>
      </c>
      <c r="C86" s="7" t="s">
        <v>43</v>
      </c>
      <c r="D86" s="7" t="s">
        <v>44</v>
      </c>
      <c r="E86" s="3" t="s">
        <v>46</v>
      </c>
      <c r="F86" s="49">
        <v>10</v>
      </c>
      <c r="G86" s="15">
        <v>249.11</v>
      </c>
      <c r="H86" s="2">
        <v>181</v>
      </c>
      <c r="I86" s="55">
        <v>137.62983425414365</v>
      </c>
      <c r="J86" s="15">
        <v>3.18</v>
      </c>
      <c r="K86" s="13">
        <v>5.07</v>
      </c>
      <c r="L86" s="13">
        <v>103.46938775510205</v>
      </c>
      <c r="M86" s="4">
        <v>19.2</v>
      </c>
      <c r="N86" s="4">
        <v>183.97127440000003</v>
      </c>
      <c r="O86" s="61">
        <v>10.512644251428574</v>
      </c>
      <c r="P86" s="4">
        <v>186.11269999999999</v>
      </c>
      <c r="Q86" s="4">
        <v>49.945999999999998</v>
      </c>
      <c r="R86" s="4">
        <v>83.439525199999991</v>
      </c>
      <c r="S86" s="4">
        <v>27.890537084398975</v>
      </c>
      <c r="T86" s="16">
        <v>1.0905199999999999</v>
      </c>
      <c r="U86" s="4">
        <v>80.133099999999999</v>
      </c>
      <c r="V86" s="2">
        <v>10</v>
      </c>
      <c r="W86" s="4">
        <v>41.6</v>
      </c>
      <c r="X86" s="4">
        <v>35.6</v>
      </c>
      <c r="Y86" s="5">
        <v>3.4238683127572016</v>
      </c>
      <c r="Z86" s="5">
        <v>1.7764471057884232</v>
      </c>
      <c r="AA86" s="4">
        <v>136.56024025804666</v>
      </c>
      <c r="AB86" s="4">
        <v>133.38552519999999</v>
      </c>
      <c r="AC86" s="13">
        <v>1.0238010462775962</v>
      </c>
      <c r="AD86" s="13">
        <v>-3.1747150580466723</v>
      </c>
      <c r="AE86" s="55">
        <v>1.4958393405531305</v>
      </c>
    </row>
    <row r="87" spans="1:31" x14ac:dyDescent="0.3">
      <c r="A87" s="48">
        <v>33133</v>
      </c>
      <c r="B87" s="80" t="s">
        <v>70</v>
      </c>
      <c r="C87" s="3" t="s">
        <v>43</v>
      </c>
      <c r="D87" s="3" t="s">
        <v>44</v>
      </c>
      <c r="E87" s="7" t="s">
        <v>47</v>
      </c>
      <c r="F87" s="50">
        <v>11</v>
      </c>
      <c r="G87" s="19">
        <v>258.95999999999998</v>
      </c>
      <c r="H87" s="6">
        <v>187</v>
      </c>
      <c r="I87" s="56">
        <v>138.48128342245988</v>
      </c>
      <c r="J87" s="19">
        <v>3.28</v>
      </c>
      <c r="K87" s="18">
        <v>4.5999999999999996</v>
      </c>
      <c r="L87" s="18">
        <v>93.877551020408148</v>
      </c>
      <c r="M87" s="20">
        <v>20.3</v>
      </c>
      <c r="N87" s="20">
        <v>196.21095514999999</v>
      </c>
      <c r="O87" s="62">
        <v>11.21205458</v>
      </c>
      <c r="P87" s="20">
        <v>196.2996</v>
      </c>
      <c r="Q87" s="20">
        <v>35.482900000000001</v>
      </c>
      <c r="R87" s="20">
        <v>87.10416798</v>
      </c>
      <c r="S87" s="20">
        <v>32.776470588235298</v>
      </c>
      <c r="T87" s="21">
        <v>1.2815600000000003</v>
      </c>
      <c r="U87" s="20">
        <v>84.755200000000002</v>
      </c>
      <c r="V87" s="6">
        <v>11</v>
      </c>
      <c r="W87" s="20">
        <v>45.6</v>
      </c>
      <c r="X87" s="20">
        <v>38</v>
      </c>
      <c r="Y87" s="22">
        <v>3.7530864197530858</v>
      </c>
      <c r="Z87" s="22">
        <v>1.8962075848303395</v>
      </c>
      <c r="AA87" s="20">
        <v>132.30331561322686</v>
      </c>
      <c r="AB87" s="20">
        <v>122.58706798</v>
      </c>
      <c r="AC87" s="18">
        <v>1.079259972469625</v>
      </c>
      <c r="AD87" s="18">
        <v>-9.7162476332268568</v>
      </c>
      <c r="AE87" s="56">
        <v>1.3287606386037327</v>
      </c>
    </row>
    <row r="88" spans="1:31" x14ac:dyDescent="0.3">
      <c r="A88" s="48">
        <v>33133</v>
      </c>
      <c r="B88" s="80" t="s">
        <v>70</v>
      </c>
      <c r="C88" s="3" t="s">
        <v>43</v>
      </c>
      <c r="D88" s="7" t="s">
        <v>48</v>
      </c>
      <c r="E88" s="7" t="s">
        <v>45</v>
      </c>
      <c r="F88" s="50">
        <v>12</v>
      </c>
      <c r="G88" s="19">
        <v>222.73</v>
      </c>
      <c r="H88" s="6">
        <v>150</v>
      </c>
      <c r="I88" s="56">
        <v>148.48666666666668</v>
      </c>
      <c r="J88" s="19">
        <v>3.35</v>
      </c>
      <c r="K88" s="18">
        <v>4.72</v>
      </c>
      <c r="L88" s="18">
        <v>96.326530612244881</v>
      </c>
      <c r="M88" s="20">
        <v>19.399999999999999</v>
      </c>
      <c r="N88" s="20">
        <v>186.1895006</v>
      </c>
      <c r="O88" s="62">
        <v>10.639400034285714</v>
      </c>
      <c r="P88" s="20">
        <v>185.10560000000001</v>
      </c>
      <c r="Q88" s="20">
        <v>43.885800000000003</v>
      </c>
      <c r="R88" s="20">
        <v>89.358239960000006</v>
      </c>
      <c r="S88" s="20">
        <v>42.751918158567776</v>
      </c>
      <c r="T88" s="21">
        <v>1.6716000000000002</v>
      </c>
      <c r="U88" s="20">
        <v>86.453000000000003</v>
      </c>
      <c r="V88" s="6">
        <v>12</v>
      </c>
      <c r="W88" s="20">
        <v>46.4</v>
      </c>
      <c r="X88" s="20">
        <v>41.2</v>
      </c>
      <c r="Y88" s="22">
        <v>3.8189300411522633</v>
      </c>
      <c r="Z88" s="22">
        <v>2.0558882235528944</v>
      </c>
      <c r="AA88" s="20">
        <v>144.95326703551783</v>
      </c>
      <c r="AB88" s="20">
        <v>133.24403996000001</v>
      </c>
      <c r="AC88" s="18">
        <v>1.0878780550261982</v>
      </c>
      <c r="AD88" s="18">
        <v>-11.709227075517816</v>
      </c>
      <c r="AE88" s="56">
        <v>1.045078721714525</v>
      </c>
    </row>
    <row r="89" spans="1:31" x14ac:dyDescent="0.3">
      <c r="A89" s="48">
        <v>33133</v>
      </c>
      <c r="B89" s="80" t="s">
        <v>70</v>
      </c>
      <c r="C89" s="3" t="s">
        <v>43</v>
      </c>
      <c r="D89" s="7" t="s">
        <v>48</v>
      </c>
      <c r="E89" s="23" t="s">
        <v>46</v>
      </c>
      <c r="F89" s="52">
        <v>13</v>
      </c>
      <c r="G89" s="27">
        <v>267.76</v>
      </c>
      <c r="H89" s="24">
        <v>190</v>
      </c>
      <c r="I89" s="57">
        <v>140.92631578947368</v>
      </c>
      <c r="J89" s="27">
        <v>3.4</v>
      </c>
      <c r="K89" s="26">
        <v>4.7300000000000004</v>
      </c>
      <c r="L89" s="26">
        <v>96.530612244897966</v>
      </c>
      <c r="M89" s="28">
        <v>19</v>
      </c>
      <c r="N89" s="28">
        <v>181.756235</v>
      </c>
      <c r="O89" s="63">
        <v>10.386070571428572</v>
      </c>
      <c r="P89" s="28">
        <v>179.9572</v>
      </c>
      <c r="Q89" s="28">
        <v>42.7</v>
      </c>
      <c r="R89" s="28">
        <v>94.843739999999997</v>
      </c>
      <c r="S89" s="28">
        <v>48.045012787723785</v>
      </c>
      <c r="T89" s="29">
        <v>1.87856</v>
      </c>
      <c r="U89" s="28">
        <v>92.016999999999996</v>
      </c>
      <c r="V89" s="24">
        <v>13</v>
      </c>
      <c r="W89" s="28">
        <v>48.8</v>
      </c>
      <c r="X89" s="28">
        <v>42.4</v>
      </c>
      <c r="Y89" s="30">
        <v>4.0164609053497937</v>
      </c>
      <c r="Z89" s="30">
        <v>2.1157684630738527</v>
      </c>
      <c r="AA89" s="28">
        <v>150.70785440104541</v>
      </c>
      <c r="AB89" s="28">
        <v>137.54374000000001</v>
      </c>
      <c r="AC89" s="26">
        <v>1.0957085680602068</v>
      </c>
      <c r="AD89" s="26">
        <v>-13.164114401045396</v>
      </c>
      <c r="AE89" s="57">
        <v>0.98703002139936968</v>
      </c>
    </row>
    <row r="90" spans="1:31" x14ac:dyDescent="0.3">
      <c r="A90" s="48">
        <v>33133</v>
      </c>
      <c r="B90" s="80" t="s">
        <v>70</v>
      </c>
      <c r="C90" s="7" t="s">
        <v>43</v>
      </c>
      <c r="D90" s="7" t="s">
        <v>48</v>
      </c>
      <c r="E90" s="7" t="s">
        <v>47</v>
      </c>
      <c r="F90" s="50">
        <v>14</v>
      </c>
      <c r="G90" s="19">
        <v>266.3</v>
      </c>
      <c r="H90" s="6">
        <v>189</v>
      </c>
      <c r="I90" s="56">
        <v>140.89947089947091</v>
      </c>
      <c r="J90" s="19">
        <v>3.36</v>
      </c>
      <c r="K90" s="18">
        <v>4.74</v>
      </c>
      <c r="L90" s="18">
        <v>96.734693877551024</v>
      </c>
      <c r="M90" s="20">
        <v>18.8</v>
      </c>
      <c r="N90" s="20">
        <v>179.54438239999999</v>
      </c>
      <c r="O90" s="62">
        <v>10.259678994285714</v>
      </c>
      <c r="P90" s="20">
        <v>177.77459999999999</v>
      </c>
      <c r="Q90" s="20">
        <v>39.648699999999998</v>
      </c>
      <c r="R90" s="20">
        <v>95.563243940000007</v>
      </c>
      <c r="S90" s="20">
        <v>43.769820971867006</v>
      </c>
      <c r="T90" s="21">
        <v>1.7113999999999998</v>
      </c>
      <c r="U90" s="20">
        <v>92.938500000000005</v>
      </c>
      <c r="V90" s="6">
        <v>14</v>
      </c>
      <c r="W90" s="20">
        <v>44.8</v>
      </c>
      <c r="X90" s="20">
        <v>42.4</v>
      </c>
      <c r="Y90" s="22">
        <v>3.6872427983539096</v>
      </c>
      <c r="Z90" s="22">
        <v>2.1157684630738527</v>
      </c>
      <c r="AA90" s="20">
        <v>146.3075261108458</v>
      </c>
      <c r="AB90" s="20">
        <v>135.21194394</v>
      </c>
      <c r="AC90" s="18">
        <v>1.0820606659998131</v>
      </c>
      <c r="AD90" s="18">
        <v>-11.095582170845802</v>
      </c>
      <c r="AE90" s="56">
        <v>1.0916567833510578</v>
      </c>
    </row>
    <row r="91" spans="1:31" x14ac:dyDescent="0.3">
      <c r="A91" s="48">
        <v>33133</v>
      </c>
      <c r="B91" s="80" t="s">
        <v>70</v>
      </c>
      <c r="C91" s="7" t="s">
        <v>43</v>
      </c>
      <c r="D91" s="7" t="s">
        <v>49</v>
      </c>
      <c r="E91" s="7" t="s">
        <v>45</v>
      </c>
      <c r="F91" s="50">
        <v>15</v>
      </c>
      <c r="G91" s="19">
        <v>260.38</v>
      </c>
      <c r="H91" s="6">
        <v>179</v>
      </c>
      <c r="I91" s="56">
        <v>145.46368715083798</v>
      </c>
      <c r="J91" s="19">
        <v>3.38</v>
      </c>
      <c r="K91" s="18">
        <v>4.87</v>
      </c>
      <c r="L91" s="18">
        <v>99.387755102040813</v>
      </c>
      <c r="M91" s="20">
        <v>19.100000000000001</v>
      </c>
      <c r="N91" s="20">
        <v>182.86335635</v>
      </c>
      <c r="O91" s="62">
        <v>10.449334648571428</v>
      </c>
      <c r="P91" s="20">
        <v>182.25739999999999</v>
      </c>
      <c r="Q91" s="20">
        <v>53.052599999999998</v>
      </c>
      <c r="R91" s="20">
        <v>89.871382120000007</v>
      </c>
      <c r="S91" s="20">
        <v>49.062915601023022</v>
      </c>
      <c r="T91" s="21">
        <v>1.9183600000000001</v>
      </c>
      <c r="U91" s="20">
        <v>86.359300000000005</v>
      </c>
      <c r="V91" s="6">
        <v>15</v>
      </c>
      <c r="W91" s="20">
        <v>47.2</v>
      </c>
      <c r="X91" s="20">
        <v>42</v>
      </c>
      <c r="Y91" s="22">
        <v>3.88477366255144</v>
      </c>
      <c r="Z91" s="22">
        <v>2.0958083832335332</v>
      </c>
      <c r="AA91" s="20">
        <v>154.43125274884883</v>
      </c>
      <c r="AB91" s="20">
        <v>142.92398212000001</v>
      </c>
      <c r="AC91" s="18">
        <v>1.0805132242900093</v>
      </c>
      <c r="AD91" s="18">
        <v>-11.507270628848829</v>
      </c>
      <c r="AE91" s="56">
        <v>0.91587893849225377</v>
      </c>
    </row>
    <row r="92" spans="1:31" x14ac:dyDescent="0.3">
      <c r="A92" s="48">
        <v>33133</v>
      </c>
      <c r="B92" s="80" t="s">
        <v>70</v>
      </c>
      <c r="C92" s="7" t="s">
        <v>43</v>
      </c>
      <c r="D92" s="7" t="s">
        <v>49</v>
      </c>
      <c r="E92" s="7" t="s">
        <v>46</v>
      </c>
      <c r="F92" s="50">
        <v>16</v>
      </c>
      <c r="G92" s="19">
        <v>250.86</v>
      </c>
      <c r="H92" s="6">
        <v>173</v>
      </c>
      <c r="I92" s="56">
        <v>145.00578034682081</v>
      </c>
      <c r="J92" s="19">
        <v>3.52</v>
      </c>
      <c r="K92" s="18">
        <v>4.4800000000000004</v>
      </c>
      <c r="L92" s="18">
        <v>91.428571428571445</v>
      </c>
      <c r="M92" s="20">
        <v>19.899999999999999</v>
      </c>
      <c r="N92" s="20">
        <v>191.74900835</v>
      </c>
      <c r="O92" s="62">
        <v>10.957086191428571</v>
      </c>
      <c r="P92" s="20">
        <v>188.10910000000001</v>
      </c>
      <c r="Q92" s="20">
        <v>44.939399999999999</v>
      </c>
      <c r="R92" s="20">
        <v>93.152988280000002</v>
      </c>
      <c r="S92" s="20">
        <v>54.356010230179031</v>
      </c>
      <c r="T92" s="21">
        <v>2.1253200000000003</v>
      </c>
      <c r="U92" s="20">
        <v>90.177999999999997</v>
      </c>
      <c r="V92" s="6">
        <v>16</v>
      </c>
      <c r="W92" s="20">
        <v>46.8</v>
      </c>
      <c r="X92" s="20">
        <v>40</v>
      </c>
      <c r="Y92" s="22">
        <v>3.8518518518518516</v>
      </c>
      <c r="Z92" s="22">
        <v>1.9960079840319362</v>
      </c>
      <c r="AA92" s="20">
        <v>151.63244149463426</v>
      </c>
      <c r="AB92" s="20">
        <v>138.09238827999999</v>
      </c>
      <c r="AC92" s="18">
        <v>1.098050684641503</v>
      </c>
      <c r="AD92" s="18">
        <v>-13.54005321463427</v>
      </c>
      <c r="AE92" s="56">
        <v>0.85687845636139492</v>
      </c>
    </row>
    <row r="93" spans="1:31" x14ac:dyDescent="0.3">
      <c r="A93" s="48">
        <v>33133</v>
      </c>
      <c r="B93" s="80" t="s">
        <v>70</v>
      </c>
      <c r="C93" s="7" t="s">
        <v>43</v>
      </c>
      <c r="D93" s="7" t="s">
        <v>49</v>
      </c>
      <c r="E93" s="23" t="s">
        <v>47</v>
      </c>
      <c r="F93" s="52">
        <v>17</v>
      </c>
      <c r="G93" s="27">
        <v>214.92</v>
      </c>
      <c r="H93" s="24">
        <v>170</v>
      </c>
      <c r="I93" s="57">
        <v>126.4235294117647</v>
      </c>
      <c r="J93" s="27">
        <v>3.43</v>
      </c>
      <c r="K93" s="26">
        <v>4.72</v>
      </c>
      <c r="L93" s="26">
        <v>96.326530612244881</v>
      </c>
      <c r="M93" s="28">
        <v>18.3</v>
      </c>
      <c r="N93" s="28">
        <v>174.02869314999998</v>
      </c>
      <c r="O93" s="63">
        <v>9.94449675142857</v>
      </c>
      <c r="P93" s="28">
        <v>173.387</v>
      </c>
      <c r="Q93" s="28">
        <v>40.378599999999999</v>
      </c>
      <c r="R93" s="28">
        <v>104.33766331999999</v>
      </c>
      <c r="S93" s="28">
        <v>51.709462915601023</v>
      </c>
      <c r="T93" s="29">
        <v>2.0218400000000001</v>
      </c>
      <c r="U93" s="28">
        <v>101.66459999999999</v>
      </c>
      <c r="V93" s="24">
        <v>17</v>
      </c>
      <c r="W93" s="28">
        <v>48</v>
      </c>
      <c r="X93" s="28">
        <v>43.2</v>
      </c>
      <c r="Y93" s="30">
        <v>3.9506172839506171</v>
      </c>
      <c r="Z93" s="30">
        <v>2.1556886227544911</v>
      </c>
      <c r="AA93" s="28">
        <v>154.14229943455101</v>
      </c>
      <c r="AB93" s="28">
        <v>144.71626332</v>
      </c>
      <c r="AC93" s="26">
        <v>1.0651346013108971</v>
      </c>
      <c r="AD93" s="26">
        <v>-9.4260361145510103</v>
      </c>
      <c r="AE93" s="57">
        <v>1.0088836495004549</v>
      </c>
    </row>
    <row r="94" spans="1:31" x14ac:dyDescent="0.3">
      <c r="A94" s="48">
        <v>33140</v>
      </c>
      <c r="B94" s="80" t="s">
        <v>71</v>
      </c>
      <c r="C94" s="7" t="s">
        <v>43</v>
      </c>
      <c r="D94" s="7" t="s">
        <v>44</v>
      </c>
      <c r="E94" s="7" t="s">
        <v>45</v>
      </c>
      <c r="F94" s="50">
        <v>9</v>
      </c>
      <c r="G94" s="19">
        <v>248.14</v>
      </c>
      <c r="H94" s="6">
        <v>185</v>
      </c>
      <c r="I94" s="56">
        <v>134.12972972972972</v>
      </c>
      <c r="J94" s="19">
        <v>3.28</v>
      </c>
      <c r="K94" s="18">
        <v>4.07</v>
      </c>
      <c r="L94" s="18">
        <v>83.061224489795933</v>
      </c>
      <c r="M94" s="20">
        <v>19.399999999999999</v>
      </c>
      <c r="N94" s="20">
        <v>186.18950059999997</v>
      </c>
      <c r="O94" s="62">
        <v>10.639400034285712</v>
      </c>
      <c r="P94" s="20">
        <v>182.86840000000001</v>
      </c>
      <c r="Q94" s="20">
        <v>34.837600000000002</v>
      </c>
      <c r="R94" s="20">
        <v>72.18614912000001</v>
      </c>
      <c r="S94" s="20">
        <v>27.279795396419438</v>
      </c>
      <c r="T94" s="21">
        <v>1.06664</v>
      </c>
      <c r="U94" s="20">
        <v>69.879900000000006</v>
      </c>
      <c r="V94" s="6">
        <v>9</v>
      </c>
      <c r="W94" s="20">
        <v>42</v>
      </c>
      <c r="X94" s="20">
        <v>39.6</v>
      </c>
      <c r="Y94" s="22">
        <v>3.4567901234567899</v>
      </c>
      <c r="Z94" s="22">
        <v>1.976047904191617</v>
      </c>
      <c r="AA94" s="20">
        <v>115.77385791386378</v>
      </c>
      <c r="AB94" s="20">
        <v>107.02374912000002</v>
      </c>
      <c r="AC94" s="18">
        <v>1.0817585710256956</v>
      </c>
      <c r="AD94" s="18">
        <v>-8.7501087938637596</v>
      </c>
      <c r="AE94" s="56">
        <v>1.3230698410860273</v>
      </c>
    </row>
    <row r="95" spans="1:31" x14ac:dyDescent="0.3">
      <c r="A95" s="48">
        <v>33140</v>
      </c>
      <c r="B95" s="80" t="s">
        <v>71</v>
      </c>
      <c r="C95" s="7" t="s">
        <v>43</v>
      </c>
      <c r="D95" s="7" t="s">
        <v>44</v>
      </c>
      <c r="E95" s="7" t="s">
        <v>46</v>
      </c>
      <c r="F95" s="50">
        <v>10</v>
      </c>
      <c r="G95" s="19">
        <v>230.52</v>
      </c>
      <c r="H95" s="6">
        <v>166</v>
      </c>
      <c r="I95" s="56">
        <v>138.86746987951807</v>
      </c>
      <c r="J95" s="19">
        <v>3.26</v>
      </c>
      <c r="K95" s="18">
        <v>4.3899999999999997</v>
      </c>
      <c r="L95" s="18">
        <v>89.591836734693871</v>
      </c>
      <c r="M95" s="20">
        <v>19</v>
      </c>
      <c r="N95" s="20">
        <v>181.756235</v>
      </c>
      <c r="O95" s="62">
        <v>10.386070571428572</v>
      </c>
      <c r="P95" s="20">
        <v>181.31059999999999</v>
      </c>
      <c r="Q95" s="20">
        <v>38.279400000000003</v>
      </c>
      <c r="R95" s="20">
        <v>76.550696279999997</v>
      </c>
      <c r="S95" s="20">
        <v>28.094117647058823</v>
      </c>
      <c r="T95" s="21">
        <v>1.0984800000000001</v>
      </c>
      <c r="U95" s="20">
        <v>74.016599999999997</v>
      </c>
      <c r="V95" s="6">
        <v>10</v>
      </c>
      <c r="W95" s="20">
        <v>42.8</v>
      </c>
      <c r="X95" s="20">
        <v>39.200000000000003</v>
      </c>
      <c r="Y95" s="22">
        <v>3.5226337448559675</v>
      </c>
      <c r="Z95" s="22">
        <v>1.9560878243512976</v>
      </c>
      <c r="AA95" s="20">
        <v>123.16467595095996</v>
      </c>
      <c r="AB95" s="20">
        <v>114.83009627999999</v>
      </c>
      <c r="AC95" s="18">
        <v>1.0725818399615119</v>
      </c>
      <c r="AD95" s="18">
        <v>-8.3345796709599682</v>
      </c>
      <c r="AE95" s="56">
        <v>1.3623972327889446</v>
      </c>
    </row>
    <row r="96" spans="1:31" x14ac:dyDescent="0.3">
      <c r="A96" s="48">
        <v>33140</v>
      </c>
      <c r="B96" s="80" t="s">
        <v>71</v>
      </c>
      <c r="C96" s="7" t="s">
        <v>43</v>
      </c>
      <c r="D96" s="7" t="s">
        <v>44</v>
      </c>
      <c r="E96" s="7" t="s">
        <v>47</v>
      </c>
      <c r="F96" s="50">
        <v>11</v>
      </c>
      <c r="G96" s="19">
        <v>263.89999999999998</v>
      </c>
      <c r="H96" s="6">
        <v>185</v>
      </c>
      <c r="I96" s="56">
        <v>142.64864864864862</v>
      </c>
      <c r="J96" s="19">
        <v>3.38</v>
      </c>
      <c r="K96" s="18">
        <v>3.86</v>
      </c>
      <c r="L96" s="18">
        <v>78.775510204081627</v>
      </c>
      <c r="M96" s="20">
        <v>20.3</v>
      </c>
      <c r="N96" s="20">
        <v>196.21095514999999</v>
      </c>
      <c r="O96" s="62">
        <v>11.21205458</v>
      </c>
      <c r="P96" s="20">
        <v>194.114</v>
      </c>
      <c r="Q96" s="20">
        <v>28.841999999999999</v>
      </c>
      <c r="R96" s="20">
        <v>79.826740400000006</v>
      </c>
      <c r="S96" s="20">
        <v>34.608695652173914</v>
      </c>
      <c r="T96" s="21">
        <v>1.3532</v>
      </c>
      <c r="U96" s="20">
        <v>77.917400000000001</v>
      </c>
      <c r="V96" s="6">
        <v>11</v>
      </c>
      <c r="W96" s="20">
        <v>47.2</v>
      </c>
      <c r="X96" s="20">
        <v>42</v>
      </c>
      <c r="Y96" s="22">
        <v>3.88477366255144</v>
      </c>
      <c r="Z96" s="22">
        <v>2.0958083832335332</v>
      </c>
      <c r="AA96" s="20">
        <v>119.3647879020405</v>
      </c>
      <c r="AB96" s="20">
        <v>108.6687404</v>
      </c>
      <c r="AC96" s="18">
        <v>1.0984280066435785</v>
      </c>
      <c r="AD96" s="18">
        <v>-10.6960475020405</v>
      </c>
      <c r="AE96" s="56">
        <v>1.1532757721105529</v>
      </c>
    </row>
    <row r="97" spans="1:31" x14ac:dyDescent="0.3">
      <c r="A97" s="48">
        <v>33140</v>
      </c>
      <c r="B97" s="80" t="s">
        <v>71</v>
      </c>
      <c r="C97" s="7" t="s">
        <v>43</v>
      </c>
      <c r="D97" s="7" t="s">
        <v>48</v>
      </c>
      <c r="E97" s="7" t="s">
        <v>45</v>
      </c>
      <c r="F97" s="50">
        <v>12</v>
      </c>
      <c r="G97" s="19">
        <v>261.25</v>
      </c>
      <c r="H97" s="6">
        <v>175</v>
      </c>
      <c r="I97" s="56">
        <v>149.28571428571428</v>
      </c>
      <c r="J97" s="19">
        <v>3.43</v>
      </c>
      <c r="K97" s="18">
        <v>4.3099999999999996</v>
      </c>
      <c r="L97" s="18">
        <v>87.959183673469369</v>
      </c>
      <c r="M97" s="20">
        <v>19.899999999999999</v>
      </c>
      <c r="N97" s="20">
        <v>191.74900834999997</v>
      </c>
      <c r="O97" s="62">
        <v>10.957086191428569</v>
      </c>
      <c r="P97" s="20">
        <v>189.1575</v>
      </c>
      <c r="Q97" s="20">
        <v>38.339500000000001</v>
      </c>
      <c r="R97" s="20">
        <v>89.9413749</v>
      </c>
      <c r="S97" s="20">
        <v>46.00920716112531</v>
      </c>
      <c r="T97" s="21">
        <v>1.7989599999999999</v>
      </c>
      <c r="U97" s="20">
        <v>87.403300000000002</v>
      </c>
      <c r="V97" s="6">
        <v>12</v>
      </c>
      <c r="W97" s="20">
        <v>48.4</v>
      </c>
      <c r="X97" s="20">
        <v>44</v>
      </c>
      <c r="Y97" s="22">
        <v>3.9835390946502054</v>
      </c>
      <c r="Z97" s="22">
        <v>2.19560878243513</v>
      </c>
      <c r="AA97" s="20">
        <v>140.14753871168003</v>
      </c>
      <c r="AB97" s="20">
        <v>128.28087490000001</v>
      </c>
      <c r="AC97" s="18">
        <v>1.0925053233455926</v>
      </c>
      <c r="AD97" s="18">
        <v>-11.866663811680013</v>
      </c>
      <c r="AE97" s="56">
        <v>0.97742800245419592</v>
      </c>
    </row>
    <row r="98" spans="1:31" x14ac:dyDescent="0.3">
      <c r="A98" s="48">
        <v>33140</v>
      </c>
      <c r="B98" s="80" t="s">
        <v>71</v>
      </c>
      <c r="C98" s="7" t="s">
        <v>43</v>
      </c>
      <c r="D98" s="7" t="s">
        <v>48</v>
      </c>
      <c r="E98" s="7" t="s">
        <v>46</v>
      </c>
      <c r="F98" s="50">
        <v>13</v>
      </c>
      <c r="G98" s="19">
        <v>261.79000000000002</v>
      </c>
      <c r="H98" s="6">
        <v>180</v>
      </c>
      <c r="I98" s="56">
        <v>145.4388888888889</v>
      </c>
      <c r="J98" s="19">
        <v>3.51</v>
      </c>
      <c r="K98" s="18">
        <v>4.08</v>
      </c>
      <c r="L98" s="18">
        <v>83.265306122448976</v>
      </c>
      <c r="M98" s="20">
        <v>19</v>
      </c>
      <c r="N98" s="20">
        <v>181.756235</v>
      </c>
      <c r="O98" s="62">
        <v>10.386070571428572</v>
      </c>
      <c r="P98" s="20">
        <v>177.63800000000001</v>
      </c>
      <c r="Q98" s="20">
        <v>36.985199999999999</v>
      </c>
      <c r="R98" s="20">
        <v>90.15022024000001</v>
      </c>
      <c r="S98" s="20">
        <v>51.302301790281327</v>
      </c>
      <c r="T98" s="21">
        <v>2.0059200000000001</v>
      </c>
      <c r="U98" s="20">
        <v>87.701800000000006</v>
      </c>
      <c r="V98" s="6">
        <v>13</v>
      </c>
      <c r="W98" s="20">
        <v>49.2</v>
      </c>
      <c r="X98" s="20">
        <v>49.2</v>
      </c>
      <c r="Y98" s="22">
        <v>4.0493827160493829</v>
      </c>
      <c r="Z98" s="22">
        <v>2.4550898203592815</v>
      </c>
      <c r="AA98" s="20">
        <v>141.07208044913898</v>
      </c>
      <c r="AB98" s="20">
        <v>127.13542024</v>
      </c>
      <c r="AC98" s="18">
        <v>1.1096205934021379</v>
      </c>
      <c r="AD98" s="18">
        <v>-13.936660209138978</v>
      </c>
      <c r="AE98" s="56">
        <v>0.87861769447036786</v>
      </c>
    </row>
    <row r="99" spans="1:31" x14ac:dyDescent="0.3">
      <c r="A99" s="48">
        <v>33140</v>
      </c>
      <c r="B99" s="80" t="s">
        <v>71</v>
      </c>
      <c r="C99" s="7" t="s">
        <v>43</v>
      </c>
      <c r="D99" s="7" t="s">
        <v>48</v>
      </c>
      <c r="E99" s="7" t="s">
        <v>47</v>
      </c>
      <c r="F99" s="50">
        <v>14</v>
      </c>
      <c r="G99" s="19">
        <v>278.61</v>
      </c>
      <c r="H99" s="6">
        <v>193</v>
      </c>
      <c r="I99" s="56">
        <v>144.35751295336789</v>
      </c>
      <c r="J99" s="19">
        <v>3.44</v>
      </c>
      <c r="K99" s="18">
        <v>4.1399999999999997</v>
      </c>
      <c r="L99" s="18">
        <v>84.489795918367349</v>
      </c>
      <c r="M99" s="20">
        <v>18.8</v>
      </c>
      <c r="N99" s="20">
        <v>179.54438239999999</v>
      </c>
      <c r="O99" s="62">
        <v>10.259678994285714</v>
      </c>
      <c r="P99" s="20">
        <v>176.59039999999999</v>
      </c>
      <c r="Q99" s="20">
        <v>33.824599999999997</v>
      </c>
      <c r="R99" s="20">
        <v>88.047988520000004</v>
      </c>
      <c r="S99" s="20">
        <v>44.176982097186695</v>
      </c>
      <c r="T99" s="21">
        <v>1.72732</v>
      </c>
      <c r="U99" s="20">
        <v>85.808800000000005</v>
      </c>
      <c r="V99" s="6">
        <v>14</v>
      </c>
      <c r="W99" s="20">
        <v>45.6</v>
      </c>
      <c r="X99" s="20">
        <v>47.2</v>
      </c>
      <c r="Y99" s="22">
        <v>3.7530864197530858</v>
      </c>
      <c r="Z99" s="22">
        <v>2.3552894211576847</v>
      </c>
      <c r="AA99" s="20">
        <v>134.77515385646481</v>
      </c>
      <c r="AB99" s="20">
        <v>121.87258851999999</v>
      </c>
      <c r="AC99" s="18">
        <v>1.1058692975438642</v>
      </c>
      <c r="AD99" s="18">
        <v>-12.902565336464818</v>
      </c>
      <c r="AE99" s="56">
        <v>0.99653693326424764</v>
      </c>
    </row>
    <row r="100" spans="1:31" x14ac:dyDescent="0.3">
      <c r="A100" s="48">
        <v>33140</v>
      </c>
      <c r="B100" s="80" t="s">
        <v>71</v>
      </c>
      <c r="C100" s="7" t="s">
        <v>43</v>
      </c>
      <c r="D100" s="7" t="s">
        <v>49</v>
      </c>
      <c r="E100" s="7" t="s">
        <v>45</v>
      </c>
      <c r="F100" s="50">
        <v>15</v>
      </c>
      <c r="G100" s="19">
        <v>257.68</v>
      </c>
      <c r="H100" s="6">
        <v>174</v>
      </c>
      <c r="I100" s="56">
        <v>148.09195402298852</v>
      </c>
      <c r="J100" s="19">
        <v>3.44</v>
      </c>
      <c r="K100" s="18">
        <v>4.4000000000000004</v>
      </c>
      <c r="L100" s="18">
        <v>89.795918367346943</v>
      </c>
      <c r="M100" s="20">
        <v>19.100000000000001</v>
      </c>
      <c r="N100" s="20">
        <v>182.86335635</v>
      </c>
      <c r="O100" s="62">
        <v>10.449334648571428</v>
      </c>
      <c r="P100" s="20">
        <v>181.48169999999999</v>
      </c>
      <c r="Q100" s="20">
        <v>46.154699999999998</v>
      </c>
      <c r="R100" s="20">
        <v>83.659941140000001</v>
      </c>
      <c r="S100" s="20">
        <v>47.027109974424548</v>
      </c>
      <c r="T100" s="21">
        <v>1.83876</v>
      </c>
      <c r="U100" s="20">
        <v>80.604500000000002</v>
      </c>
      <c r="V100" s="6">
        <v>15</v>
      </c>
      <c r="W100" s="20">
        <v>47.6</v>
      </c>
      <c r="X100" s="20">
        <v>44.4</v>
      </c>
      <c r="Y100" s="22">
        <v>3.9176954732510283</v>
      </c>
      <c r="Z100" s="22">
        <v>2.2155688622754495</v>
      </c>
      <c r="AA100" s="20">
        <v>142.95629267729797</v>
      </c>
      <c r="AB100" s="20">
        <v>129.81464113999999</v>
      </c>
      <c r="AC100" s="18">
        <v>1.1012339703895588</v>
      </c>
      <c r="AD100" s="18">
        <v>-13.141651537297975</v>
      </c>
      <c r="AE100" s="56">
        <v>0.88948631103950504</v>
      </c>
    </row>
    <row r="101" spans="1:31" x14ac:dyDescent="0.3">
      <c r="A101" s="48">
        <v>33140</v>
      </c>
      <c r="B101" s="80" t="s">
        <v>71</v>
      </c>
      <c r="C101" s="7" t="s">
        <v>43</v>
      </c>
      <c r="D101" s="7" t="s">
        <v>49</v>
      </c>
      <c r="E101" s="7" t="s">
        <v>46</v>
      </c>
      <c r="F101" s="50">
        <v>16</v>
      </c>
      <c r="G101" s="19">
        <v>280.37</v>
      </c>
      <c r="H101" s="6">
        <v>184</v>
      </c>
      <c r="I101" s="56">
        <v>152.375</v>
      </c>
      <c r="J101" s="19">
        <v>3.59</v>
      </c>
      <c r="K101" s="18">
        <v>4.07</v>
      </c>
      <c r="L101" s="18">
        <v>83.061224489795933</v>
      </c>
      <c r="M101" s="20">
        <v>19.899999999999999</v>
      </c>
      <c r="N101" s="20">
        <v>191.74900834999997</v>
      </c>
      <c r="O101" s="62">
        <v>10.957086191428569</v>
      </c>
      <c r="P101" s="20">
        <v>186.2002</v>
      </c>
      <c r="Q101" s="20">
        <v>39.488399999999999</v>
      </c>
      <c r="R101" s="20">
        <v>89.548532080000001</v>
      </c>
      <c r="S101" s="20">
        <v>55.577493606138106</v>
      </c>
      <c r="T101" s="21">
        <v>2.1730800000000001</v>
      </c>
      <c r="U101" s="20">
        <v>86.934399999999997</v>
      </c>
      <c r="V101" s="6">
        <v>16</v>
      </c>
      <c r="W101" s="20">
        <v>48.4</v>
      </c>
      <c r="X101" s="20">
        <v>46.8</v>
      </c>
      <c r="Y101" s="22">
        <v>3.9835390946502054</v>
      </c>
      <c r="Z101" s="22">
        <v>2.3353293413173652</v>
      </c>
      <c r="AA101" s="20">
        <v>144.95758653190163</v>
      </c>
      <c r="AB101" s="20">
        <v>129.03693207999999</v>
      </c>
      <c r="AC101" s="18">
        <v>1.1233806027101698</v>
      </c>
      <c r="AD101" s="18">
        <v>-15.92065445190164</v>
      </c>
      <c r="AE101" s="56">
        <v>0.80561866206674404</v>
      </c>
    </row>
    <row r="102" spans="1:31" x14ac:dyDescent="0.3">
      <c r="A102" s="48">
        <v>33140</v>
      </c>
      <c r="B102" s="80" t="s">
        <v>71</v>
      </c>
      <c r="C102" s="7" t="s">
        <v>43</v>
      </c>
      <c r="D102" s="7" t="s">
        <v>49</v>
      </c>
      <c r="E102" s="23" t="s">
        <v>47</v>
      </c>
      <c r="F102" s="52">
        <v>17</v>
      </c>
      <c r="G102" s="27">
        <v>213.17</v>
      </c>
      <c r="H102" s="24">
        <v>159</v>
      </c>
      <c r="I102" s="57">
        <v>134.06918238993711</v>
      </c>
      <c r="J102" s="27">
        <v>3.59</v>
      </c>
      <c r="K102" s="26">
        <v>3.92</v>
      </c>
      <c r="L102" s="26">
        <v>80</v>
      </c>
      <c r="M102" s="28">
        <v>18.7</v>
      </c>
      <c r="N102" s="28">
        <v>178.43965114999997</v>
      </c>
      <c r="O102" s="63">
        <v>10.196551494285712</v>
      </c>
      <c r="P102" s="28">
        <v>171.9821</v>
      </c>
      <c r="Q102" s="28">
        <v>34.337299999999999</v>
      </c>
      <c r="R102" s="28">
        <v>90.685329260000003</v>
      </c>
      <c r="S102" s="28">
        <v>54.763171355498713</v>
      </c>
      <c r="T102" s="29">
        <v>2.1412399999999998</v>
      </c>
      <c r="U102" s="28">
        <v>88.412199999999999</v>
      </c>
      <c r="V102" s="24">
        <v>17</v>
      </c>
      <c r="W102" s="28">
        <v>50.4</v>
      </c>
      <c r="X102" s="28">
        <v>49.6</v>
      </c>
      <c r="Y102" s="30">
        <v>4.1481481481481479</v>
      </c>
      <c r="Z102" s="30">
        <v>2.4750499001996009</v>
      </c>
      <c r="AA102" s="28">
        <v>141.38636940384646</v>
      </c>
      <c r="AB102" s="28">
        <v>125.02262926</v>
      </c>
      <c r="AC102" s="26">
        <v>1.1308862262832118</v>
      </c>
      <c r="AD102" s="26">
        <v>-16.363740143846456</v>
      </c>
      <c r="AE102" s="57">
        <v>0.82797733417692565</v>
      </c>
    </row>
    <row r="103" spans="1:31" x14ac:dyDescent="0.3">
      <c r="A103" s="48">
        <v>33147</v>
      </c>
      <c r="B103" s="80" t="s">
        <v>72</v>
      </c>
      <c r="C103" s="7" t="s">
        <v>43</v>
      </c>
      <c r="D103" s="7" t="s">
        <v>44</v>
      </c>
      <c r="E103" s="7" t="s">
        <v>45</v>
      </c>
      <c r="F103" s="50">
        <v>9</v>
      </c>
      <c r="G103" s="17">
        <v>284.41000000000003</v>
      </c>
      <c r="H103" s="6">
        <v>202</v>
      </c>
      <c r="I103" s="56">
        <v>140.79702970297029</v>
      </c>
      <c r="J103" s="19">
        <v>3.32</v>
      </c>
      <c r="K103" s="18">
        <v>4.13</v>
      </c>
      <c r="L103" s="18">
        <v>84.285714285714278</v>
      </c>
      <c r="M103" s="20">
        <v>19.600000000000001</v>
      </c>
      <c r="N103" s="20">
        <v>188.41091359999996</v>
      </c>
      <c r="O103" s="62">
        <v>10.766337919999998</v>
      </c>
      <c r="P103" s="20">
        <v>185.5975</v>
      </c>
      <c r="Q103" s="20">
        <v>33.543799999999997</v>
      </c>
      <c r="R103" s="20">
        <v>74.862599559999992</v>
      </c>
      <c r="S103" s="20">
        <v>27.890537084398975</v>
      </c>
      <c r="T103" s="21">
        <v>1.0905199999999999</v>
      </c>
      <c r="U103" s="20">
        <v>72.641999999999996</v>
      </c>
      <c r="V103" s="6">
        <v>9</v>
      </c>
      <c r="W103" s="20">
        <v>43.2</v>
      </c>
      <c r="X103" s="20">
        <v>41.6</v>
      </c>
      <c r="Y103" s="22">
        <v>3.5555555555555558</v>
      </c>
      <c r="Z103" s="22">
        <v>2.0758483033932138</v>
      </c>
      <c r="AA103" s="20">
        <v>117.80765522906202</v>
      </c>
      <c r="AB103" s="20">
        <v>108.40639955999998</v>
      </c>
      <c r="AC103" s="18">
        <v>1.0867223310359893</v>
      </c>
      <c r="AD103" s="18">
        <v>-9.4012556690620386</v>
      </c>
      <c r="AE103" s="56">
        <v>1.3420788444026703</v>
      </c>
    </row>
    <row r="104" spans="1:31" x14ac:dyDescent="0.3">
      <c r="A104" s="48">
        <v>33147</v>
      </c>
      <c r="B104" s="80" t="s">
        <v>72</v>
      </c>
      <c r="C104" s="7" t="s">
        <v>43</v>
      </c>
      <c r="D104" s="7" t="s">
        <v>44</v>
      </c>
      <c r="E104" s="7" t="s">
        <v>46</v>
      </c>
      <c r="F104" s="50">
        <v>10</v>
      </c>
      <c r="G104" s="17">
        <v>282.48</v>
      </c>
      <c r="H104" s="6">
        <v>189</v>
      </c>
      <c r="I104" s="56">
        <v>149.46031746031747</v>
      </c>
      <c r="J104" s="19">
        <v>3.3</v>
      </c>
      <c r="K104" s="18">
        <v>4.46</v>
      </c>
      <c r="L104" s="18">
        <v>91.020408163265301</v>
      </c>
      <c r="M104" s="20">
        <v>19.3</v>
      </c>
      <c r="N104" s="20">
        <v>185.07998914999999</v>
      </c>
      <c r="O104" s="62">
        <v>10.575999379999999</v>
      </c>
      <c r="P104" s="20">
        <v>183.6156</v>
      </c>
      <c r="Q104" s="20">
        <v>37.260199999999998</v>
      </c>
      <c r="R104" s="20">
        <v>77.942925239999994</v>
      </c>
      <c r="S104" s="20">
        <v>28.297698209718664</v>
      </c>
      <c r="T104" s="21">
        <v>1.1064399999999999</v>
      </c>
      <c r="U104" s="20">
        <v>75.476299999999995</v>
      </c>
      <c r="V104" s="6">
        <v>10</v>
      </c>
      <c r="W104" s="20">
        <v>45.2</v>
      </c>
      <c r="X104" s="20">
        <v>40.4</v>
      </c>
      <c r="Y104" s="22">
        <v>3.7201646090534974</v>
      </c>
      <c r="Z104" s="22">
        <v>2.0159680638722555</v>
      </c>
      <c r="AA104" s="20">
        <v>125.05423904590971</v>
      </c>
      <c r="AB104" s="20">
        <v>115.20312523999999</v>
      </c>
      <c r="AC104" s="18">
        <v>1.0855108208686797</v>
      </c>
      <c r="AD104" s="18">
        <v>-9.8511138059097192</v>
      </c>
      <c r="AE104" s="56">
        <v>1.3771954994776041</v>
      </c>
    </row>
    <row r="105" spans="1:31" x14ac:dyDescent="0.3">
      <c r="A105" s="48">
        <v>33147</v>
      </c>
      <c r="B105" s="80" t="s">
        <v>72</v>
      </c>
      <c r="C105" s="7" t="s">
        <v>43</v>
      </c>
      <c r="D105" s="7" t="s">
        <v>44</v>
      </c>
      <c r="E105" s="7" t="s">
        <v>47</v>
      </c>
      <c r="F105" s="50">
        <v>11</v>
      </c>
      <c r="G105" s="17">
        <v>278.45</v>
      </c>
      <c r="H105" s="6">
        <v>190</v>
      </c>
      <c r="I105" s="56">
        <v>146.55263157894737</v>
      </c>
      <c r="J105" s="19">
        <v>3.42</v>
      </c>
      <c r="K105" s="18">
        <v>4</v>
      </c>
      <c r="L105" s="18">
        <v>81.632653061224488</v>
      </c>
      <c r="M105" s="20">
        <v>20.9</v>
      </c>
      <c r="N105" s="20">
        <v>202.92777635000002</v>
      </c>
      <c r="O105" s="62">
        <v>11.595872934285715</v>
      </c>
      <c r="P105" s="20">
        <v>197.2158</v>
      </c>
      <c r="Q105" s="20">
        <v>28.861599999999999</v>
      </c>
      <c r="R105" s="20">
        <v>84.856237919999998</v>
      </c>
      <c r="S105" s="20">
        <v>36.03375959079284</v>
      </c>
      <c r="T105" s="21">
        <v>1.4089200000000002</v>
      </c>
      <c r="U105" s="20">
        <v>82.945599999999999</v>
      </c>
      <c r="V105" s="6">
        <v>11</v>
      </c>
      <c r="W105" s="20">
        <v>50.4</v>
      </c>
      <c r="X105" s="20">
        <v>46.4</v>
      </c>
      <c r="Y105" s="22">
        <v>4.1481481481481479</v>
      </c>
      <c r="Z105" s="22">
        <v>2.3153692614770458</v>
      </c>
      <c r="AA105" s="20">
        <v>124.12993006164253</v>
      </c>
      <c r="AB105" s="20">
        <v>113.71783791999999</v>
      </c>
      <c r="AC105" s="18">
        <v>1.0915607641869465</v>
      </c>
      <c r="AD105" s="18">
        <v>-10.412092141642532</v>
      </c>
      <c r="AE105" s="56">
        <v>1.1774546825483347</v>
      </c>
    </row>
    <row r="106" spans="1:31" ht="15" thickBot="1" x14ac:dyDescent="0.35">
      <c r="A106" s="46">
        <v>33147</v>
      </c>
      <c r="B106" s="79" t="s">
        <v>72</v>
      </c>
      <c r="C106" s="32" t="s">
        <v>43</v>
      </c>
      <c r="D106" s="32" t="s">
        <v>48</v>
      </c>
      <c r="E106" s="32" t="s">
        <v>45</v>
      </c>
      <c r="F106" s="51">
        <v>12</v>
      </c>
      <c r="G106" s="39">
        <v>309.20999999999998</v>
      </c>
      <c r="H106" s="33">
        <v>194</v>
      </c>
      <c r="I106" s="58">
        <v>159.38659793814432</v>
      </c>
      <c r="J106" s="41">
        <v>3.48</v>
      </c>
      <c r="K106" s="40">
        <v>4.46</v>
      </c>
      <c r="L106" s="40">
        <v>91.020408163265301</v>
      </c>
      <c r="M106" s="42">
        <v>20.5</v>
      </c>
      <c r="N106" s="42">
        <v>198.44670874999997</v>
      </c>
      <c r="O106" s="64">
        <v>11.339811928571427</v>
      </c>
      <c r="P106" s="42">
        <v>191.8802</v>
      </c>
      <c r="Q106" s="42">
        <v>39.354300000000002</v>
      </c>
      <c r="R106" s="42">
        <v>92.857154660000006</v>
      </c>
      <c r="S106" s="42">
        <v>47.637851662404088</v>
      </c>
      <c r="T106" s="43">
        <v>1.8626399999999999</v>
      </c>
      <c r="U106" s="42">
        <v>90.251900000000006</v>
      </c>
      <c r="V106" s="33">
        <v>12</v>
      </c>
      <c r="W106" s="42">
        <v>52</v>
      </c>
      <c r="X106" s="42">
        <v>50.8</v>
      </c>
      <c r="Y106" s="44">
        <v>4.2798353909465021</v>
      </c>
      <c r="Z106" s="44">
        <v>2.5349301397205588</v>
      </c>
      <c r="AA106" s="42">
        <v>145.47302535633648</v>
      </c>
      <c r="AB106" s="42">
        <v>132.21145466000002</v>
      </c>
      <c r="AC106" s="40">
        <v>1.1003057619359866</v>
      </c>
      <c r="AD106" s="40">
        <v>-13.261570696336463</v>
      </c>
      <c r="AE106" s="58">
        <v>0.97461526306908486</v>
      </c>
    </row>
    <row r="107" spans="1:31" ht="15" thickTop="1" x14ac:dyDescent="0.3">
      <c r="A107" s="48">
        <v>33147</v>
      </c>
      <c r="B107" s="80" t="s">
        <v>72</v>
      </c>
      <c r="C107" s="7" t="s">
        <v>43</v>
      </c>
      <c r="D107" s="3" t="s">
        <v>48</v>
      </c>
      <c r="E107" s="3" t="s">
        <v>46</v>
      </c>
      <c r="F107" s="49">
        <v>13</v>
      </c>
      <c r="G107" s="14">
        <v>264.88</v>
      </c>
      <c r="H107" s="2">
        <v>178</v>
      </c>
      <c r="I107" s="55">
        <v>148.80898876404493</v>
      </c>
      <c r="J107" s="15">
        <v>3.48</v>
      </c>
      <c r="K107" s="13">
        <v>4.55</v>
      </c>
      <c r="L107" s="13">
        <v>92.857142857142861</v>
      </c>
      <c r="M107" s="4">
        <v>19.899999999999999</v>
      </c>
      <c r="N107" s="4">
        <v>191.74900835</v>
      </c>
      <c r="O107" s="61">
        <v>10.957086191428571</v>
      </c>
      <c r="P107" s="4">
        <v>186.59870000000001</v>
      </c>
      <c r="Q107" s="4">
        <v>36.694299999999998</v>
      </c>
      <c r="R107" s="4">
        <v>98.240662659999998</v>
      </c>
      <c r="S107" s="4">
        <v>49.673657289002556</v>
      </c>
      <c r="T107" s="16">
        <v>1.94224</v>
      </c>
      <c r="U107" s="4">
        <v>95.811499999999995</v>
      </c>
      <c r="V107" s="2">
        <v>13</v>
      </c>
      <c r="W107" s="4">
        <v>55.6</v>
      </c>
      <c r="X107" s="4">
        <v>52.8</v>
      </c>
      <c r="Y107" s="5">
        <v>4.576131687242798</v>
      </c>
      <c r="Z107" s="5">
        <v>2.634730538922156</v>
      </c>
      <c r="AA107" s="4">
        <v>149.74166237231037</v>
      </c>
      <c r="AB107" s="4">
        <v>134.93496266</v>
      </c>
      <c r="AC107" s="13">
        <v>1.1097321214637255</v>
      </c>
      <c r="AD107" s="13">
        <v>-14.806699712310376</v>
      </c>
      <c r="AE107" s="55">
        <v>0.98886077673356543</v>
      </c>
    </row>
    <row r="108" spans="1:31" x14ac:dyDescent="0.3">
      <c r="A108" s="48">
        <v>33147</v>
      </c>
      <c r="B108" s="80" t="s">
        <v>72</v>
      </c>
      <c r="C108" s="3" t="s">
        <v>43</v>
      </c>
      <c r="D108" s="3" t="s">
        <v>48</v>
      </c>
      <c r="E108" s="7" t="s">
        <v>47</v>
      </c>
      <c r="F108" s="50">
        <v>14</v>
      </c>
      <c r="G108" s="17">
        <v>301.48</v>
      </c>
      <c r="H108" s="6">
        <v>199</v>
      </c>
      <c r="I108" s="56">
        <v>151.49748743718595</v>
      </c>
      <c r="J108" s="19">
        <v>3.43</v>
      </c>
      <c r="K108" s="18">
        <v>4.5199999999999996</v>
      </c>
      <c r="L108" s="18">
        <v>92.244897959183675</v>
      </c>
      <c r="M108" s="20">
        <v>19.399999999999999</v>
      </c>
      <c r="N108" s="20">
        <v>186.1895006</v>
      </c>
      <c r="O108" s="62">
        <v>10.639400034285714</v>
      </c>
      <c r="P108" s="20">
        <v>182.43350000000001</v>
      </c>
      <c r="Q108" s="20">
        <v>34.280200000000001</v>
      </c>
      <c r="R108" s="20">
        <v>95.539749239999992</v>
      </c>
      <c r="S108" s="20">
        <v>43.769820971867006</v>
      </c>
      <c r="T108" s="21">
        <v>1.7113999999999998</v>
      </c>
      <c r="U108" s="20">
        <v>93.270399999999995</v>
      </c>
      <c r="V108" s="6">
        <v>14</v>
      </c>
      <c r="W108" s="20">
        <v>49.2</v>
      </c>
      <c r="X108" s="20">
        <v>48.8</v>
      </c>
      <c r="Y108" s="22">
        <v>4.0493827160493829</v>
      </c>
      <c r="Z108" s="22">
        <v>2.435129740518962</v>
      </c>
      <c r="AA108" s="20">
        <v>142.49923138761903</v>
      </c>
      <c r="AB108" s="20">
        <v>129.81994924</v>
      </c>
      <c r="AC108" s="18">
        <v>1.097668210639789</v>
      </c>
      <c r="AD108" s="18">
        <v>-12.679282147619034</v>
      </c>
      <c r="AE108" s="56">
        <v>1.0913883940878812</v>
      </c>
    </row>
    <row r="109" spans="1:31" x14ac:dyDescent="0.3">
      <c r="A109" s="48">
        <v>33147</v>
      </c>
      <c r="B109" s="80" t="s">
        <v>72</v>
      </c>
      <c r="C109" s="3" t="s">
        <v>43</v>
      </c>
      <c r="D109" s="7" t="s">
        <v>49</v>
      </c>
      <c r="E109" s="7" t="s">
        <v>45</v>
      </c>
      <c r="F109" s="50">
        <v>15</v>
      </c>
      <c r="G109" s="17">
        <v>295.94</v>
      </c>
      <c r="H109" s="6">
        <v>186</v>
      </c>
      <c r="I109" s="56">
        <v>159.10752688172042</v>
      </c>
      <c r="J109" s="19">
        <v>3.43</v>
      </c>
      <c r="K109" s="18">
        <v>4.92</v>
      </c>
      <c r="L109" s="18">
        <v>100.40816326530611</v>
      </c>
      <c r="M109" s="20">
        <v>19.7</v>
      </c>
      <c r="N109" s="20">
        <v>189.52281514999999</v>
      </c>
      <c r="O109" s="62">
        <v>10.82987515142857</v>
      </c>
      <c r="P109" s="20">
        <v>194.7</v>
      </c>
      <c r="Q109" s="20">
        <v>49.09</v>
      </c>
      <c r="R109" s="20">
        <v>99.309758000000002</v>
      </c>
      <c r="S109" s="20">
        <v>49.470076726342711</v>
      </c>
      <c r="T109" s="21">
        <v>1.9342800000000002</v>
      </c>
      <c r="U109" s="20">
        <v>96.06</v>
      </c>
      <c r="V109" s="6">
        <v>15</v>
      </c>
      <c r="W109" s="20">
        <v>51.2</v>
      </c>
      <c r="X109" s="20">
        <v>46.8</v>
      </c>
      <c r="Y109" s="22">
        <v>4.2139917695473255</v>
      </c>
      <c r="Z109" s="22">
        <v>2.3353293413173652</v>
      </c>
      <c r="AA109" s="20">
        <v>156.42756110251352</v>
      </c>
      <c r="AB109" s="20">
        <v>148.39975800000002</v>
      </c>
      <c r="AC109" s="18">
        <v>1.0540957964534787</v>
      </c>
      <c r="AD109" s="18">
        <v>-8.0278031025135022</v>
      </c>
      <c r="AE109" s="56">
        <v>1.0037356374981905</v>
      </c>
    </row>
    <row r="110" spans="1:31" x14ac:dyDescent="0.3">
      <c r="A110" s="48">
        <v>33147</v>
      </c>
      <c r="B110" s="80" t="s">
        <v>72</v>
      </c>
      <c r="C110" s="3" t="s">
        <v>43</v>
      </c>
      <c r="D110" s="7" t="s">
        <v>49</v>
      </c>
      <c r="E110" s="23" t="s">
        <v>46</v>
      </c>
      <c r="F110" s="52">
        <v>16</v>
      </c>
      <c r="G110" s="25">
        <v>314.17</v>
      </c>
      <c r="H110" s="24">
        <v>203</v>
      </c>
      <c r="I110" s="57">
        <v>154.76354679802958</v>
      </c>
      <c r="J110" s="27">
        <v>3.57</v>
      </c>
      <c r="K110" s="26">
        <v>4.37</v>
      </c>
      <c r="L110" s="26">
        <v>89.183673469387756</v>
      </c>
      <c r="M110" s="28">
        <v>20.6</v>
      </c>
      <c r="N110" s="28">
        <v>199.56578059999998</v>
      </c>
      <c r="O110" s="63">
        <v>11.40375889142857</v>
      </c>
      <c r="P110" s="28">
        <v>202.4</v>
      </c>
      <c r="Q110" s="28">
        <v>38.9</v>
      </c>
      <c r="R110" s="28">
        <v>104.57518</v>
      </c>
      <c r="S110" s="28">
        <v>58.020460358056262</v>
      </c>
      <c r="T110" s="29">
        <v>2.2685999999999997</v>
      </c>
      <c r="U110" s="28">
        <v>102</v>
      </c>
      <c r="V110" s="24">
        <v>16</v>
      </c>
      <c r="W110" s="28">
        <v>53.2</v>
      </c>
      <c r="X110" s="28">
        <v>49.6</v>
      </c>
      <c r="Y110" s="30">
        <v>4.378600823045268</v>
      </c>
      <c r="Z110" s="30">
        <v>2.4750499001996009</v>
      </c>
      <c r="AA110" s="28">
        <v>154.05778455068889</v>
      </c>
      <c r="AB110" s="28">
        <v>143.47517999999999</v>
      </c>
      <c r="AC110" s="26">
        <v>1.0737591306781347</v>
      </c>
      <c r="AD110" s="26">
        <v>-10.582604550688899</v>
      </c>
      <c r="AE110" s="57">
        <v>0.90119226351053527</v>
      </c>
    </row>
    <row r="111" spans="1:31" x14ac:dyDescent="0.3">
      <c r="A111" s="48">
        <v>33147</v>
      </c>
      <c r="B111" s="80" t="s">
        <v>72</v>
      </c>
      <c r="C111" s="7" t="s">
        <v>43</v>
      </c>
      <c r="D111" s="7" t="s">
        <v>49</v>
      </c>
      <c r="E111" s="81" t="s">
        <v>47</v>
      </c>
      <c r="F111" s="50">
        <v>17</v>
      </c>
      <c r="G111" s="17">
        <v>245.89</v>
      </c>
      <c r="H111" s="31">
        <v>179</v>
      </c>
      <c r="I111" s="56">
        <v>137.36871508379886</v>
      </c>
      <c r="J111" s="19">
        <v>3.54</v>
      </c>
      <c r="K111" s="85">
        <v>4.4800000000000004</v>
      </c>
      <c r="L111" s="85">
        <v>91.428571428571445</v>
      </c>
      <c r="M111" s="86">
        <v>19.3</v>
      </c>
      <c r="N111" s="86">
        <v>185.07998914999999</v>
      </c>
      <c r="O111" s="62">
        <v>10.575999379999999</v>
      </c>
      <c r="P111" s="86">
        <v>188.2</v>
      </c>
      <c r="Q111" s="86">
        <v>37.67</v>
      </c>
      <c r="R111" s="86">
        <v>106.59375399999999</v>
      </c>
      <c r="S111" s="86">
        <v>56.391815856777491</v>
      </c>
      <c r="T111" s="87">
        <v>2.20492</v>
      </c>
      <c r="U111" s="86">
        <v>104.1</v>
      </c>
      <c r="V111" s="31">
        <v>17</v>
      </c>
      <c r="W111" s="86">
        <v>54</v>
      </c>
      <c r="X111" s="86">
        <v>54</v>
      </c>
      <c r="Y111" s="88">
        <v>4.4444444444444446</v>
      </c>
      <c r="Z111" s="88">
        <v>2.6946107784431139</v>
      </c>
      <c r="AA111" s="86">
        <v>154.95944250823652</v>
      </c>
      <c r="AB111" s="86">
        <v>144.26375400000001</v>
      </c>
      <c r="AC111" s="85">
        <v>1.0741398182958453</v>
      </c>
      <c r="AD111" s="85">
        <v>-10.695688508236515</v>
      </c>
      <c r="AE111" s="56">
        <v>0.94511723359577671</v>
      </c>
    </row>
    <row r="112" spans="1:31" x14ac:dyDescent="0.3">
      <c r="A112" s="48">
        <v>33154</v>
      </c>
      <c r="B112" s="80" t="s">
        <v>73</v>
      </c>
      <c r="C112" s="81" t="s">
        <v>43</v>
      </c>
      <c r="D112" s="81" t="s">
        <v>44</v>
      </c>
      <c r="E112" s="81" t="s">
        <v>45</v>
      </c>
      <c r="F112" s="50">
        <v>9</v>
      </c>
      <c r="G112" s="17">
        <v>340.24</v>
      </c>
      <c r="H112" s="31">
        <v>243</v>
      </c>
      <c r="I112" s="56">
        <v>140.01646090534982</v>
      </c>
      <c r="J112" s="19">
        <v>3.32</v>
      </c>
      <c r="K112" s="85">
        <v>3.9</v>
      </c>
      <c r="L112" s="85">
        <v>79.591836734693871</v>
      </c>
      <c r="M112" s="86">
        <v>19.8</v>
      </c>
      <c r="N112" s="86">
        <v>190.63551340000001</v>
      </c>
      <c r="O112" s="62">
        <v>10.893457908571429</v>
      </c>
      <c r="P112" s="86">
        <v>196.7</v>
      </c>
      <c r="Q112" s="86">
        <v>28.91</v>
      </c>
      <c r="R112" s="86">
        <v>74.733841999999996</v>
      </c>
      <c r="S112" s="86">
        <v>28.094117647058823</v>
      </c>
      <c r="T112" s="87">
        <v>1.0984800000000001</v>
      </c>
      <c r="U112" s="86">
        <v>72.819999999999993</v>
      </c>
      <c r="V112" s="31">
        <v>9</v>
      </c>
      <c r="W112" s="86">
        <v>45.6</v>
      </c>
      <c r="X112" s="86">
        <v>39.200000000000003</v>
      </c>
      <c r="Y112" s="88">
        <v>3.7530864197530858</v>
      </c>
      <c r="Z112" s="88">
        <v>1.9560878243512976</v>
      </c>
      <c r="AA112" s="86">
        <v>113.39512862585708</v>
      </c>
      <c r="AB112" s="86">
        <v>103.64384199999999</v>
      </c>
      <c r="AC112" s="85">
        <v>1.0940845730695423</v>
      </c>
      <c r="AD112" s="85">
        <v>-9.7512866258570909</v>
      </c>
      <c r="AE112" s="56">
        <v>1.3300620958961473</v>
      </c>
    </row>
    <row r="113" spans="1:31" x14ac:dyDescent="0.3">
      <c r="A113" s="48">
        <v>33154</v>
      </c>
      <c r="B113" s="80" t="s">
        <v>73</v>
      </c>
      <c r="C113" s="81" t="s">
        <v>43</v>
      </c>
      <c r="D113" s="81" t="s">
        <v>44</v>
      </c>
      <c r="E113" s="7" t="s">
        <v>46</v>
      </c>
      <c r="F113" s="50">
        <v>10</v>
      </c>
      <c r="G113" s="17">
        <v>321.19</v>
      </c>
      <c r="H113" s="6">
        <v>215</v>
      </c>
      <c r="I113" s="56">
        <v>149.39069767441859</v>
      </c>
      <c r="J113" s="19">
        <v>3.34</v>
      </c>
      <c r="K113" s="18">
        <v>3.61</v>
      </c>
      <c r="L113" s="18">
        <v>73.673469387755091</v>
      </c>
      <c r="M113" s="20">
        <v>19.899999999999999</v>
      </c>
      <c r="N113" s="20">
        <v>191.74900834999997</v>
      </c>
      <c r="O113" s="62">
        <v>10.957086191428569</v>
      </c>
      <c r="P113" s="20">
        <v>198</v>
      </c>
      <c r="Q113" s="20">
        <v>29.18</v>
      </c>
      <c r="R113" s="20">
        <v>77.521715999999998</v>
      </c>
      <c r="S113" s="20">
        <v>30.333503836317135</v>
      </c>
      <c r="T113" s="21">
        <v>1.18604</v>
      </c>
      <c r="U113" s="20">
        <v>75.59</v>
      </c>
      <c r="V113" s="6">
        <v>10</v>
      </c>
      <c r="W113" s="20">
        <v>46</v>
      </c>
      <c r="X113" s="20">
        <v>40.799999999999997</v>
      </c>
      <c r="Y113" s="22">
        <v>3.786008230452675</v>
      </c>
      <c r="Z113" s="22">
        <v>2.0359281437125749</v>
      </c>
      <c r="AA113" s="20">
        <v>109.82890959823749</v>
      </c>
      <c r="AB113" s="20">
        <v>106.701716</v>
      </c>
      <c r="AC113" s="18">
        <v>1.0293078098035227</v>
      </c>
      <c r="AD113" s="18">
        <v>-3.1271935982374828</v>
      </c>
      <c r="AE113" s="56">
        <v>1.2778233009004756</v>
      </c>
    </row>
    <row r="114" spans="1:31" x14ac:dyDescent="0.3">
      <c r="A114" s="48">
        <v>33154</v>
      </c>
      <c r="B114" s="80" t="s">
        <v>73</v>
      </c>
      <c r="C114" s="81" t="s">
        <v>43</v>
      </c>
      <c r="D114" s="81" t="s">
        <v>44</v>
      </c>
      <c r="E114" s="23" t="s">
        <v>47</v>
      </c>
      <c r="F114" s="52">
        <v>11</v>
      </c>
      <c r="G114" s="25">
        <v>334.2</v>
      </c>
      <c r="H114" s="24">
        <v>221</v>
      </c>
      <c r="I114" s="57">
        <v>151.22171945701356</v>
      </c>
      <c r="J114" s="27">
        <v>3.37</v>
      </c>
      <c r="K114" s="26">
        <v>3.36</v>
      </c>
      <c r="L114" s="26">
        <v>68.571428571428569</v>
      </c>
      <c r="M114" s="28">
        <v>21.1</v>
      </c>
      <c r="N114" s="28">
        <v>205.17309035000002</v>
      </c>
      <c r="O114" s="63">
        <v>11.724176591428574</v>
      </c>
      <c r="P114" s="28">
        <v>207.5</v>
      </c>
      <c r="Q114" s="28">
        <v>23.76</v>
      </c>
      <c r="R114" s="28">
        <v>81.782911999999996</v>
      </c>
      <c r="S114" s="28">
        <v>35.830179028132989</v>
      </c>
      <c r="T114" s="29">
        <v>1.40096</v>
      </c>
      <c r="U114" s="28">
        <v>80.209999999999994</v>
      </c>
      <c r="V114" s="24">
        <v>11</v>
      </c>
      <c r="W114" s="28">
        <v>50.4</v>
      </c>
      <c r="X114" s="28">
        <v>45.2</v>
      </c>
      <c r="Y114" s="30">
        <v>4.1481481481481479</v>
      </c>
      <c r="Z114" s="30">
        <v>2.2554890219560879</v>
      </c>
      <c r="AA114" s="28">
        <v>110.8052447696658</v>
      </c>
      <c r="AB114" s="28">
        <v>105.542912</v>
      </c>
      <c r="AC114" s="26">
        <v>1.0498596511120122</v>
      </c>
      <c r="AD114" s="26">
        <v>-5.2623327696658038</v>
      </c>
      <c r="AE114" s="57">
        <v>1.1412573732297853</v>
      </c>
    </row>
    <row r="115" spans="1:31" x14ac:dyDescent="0.3">
      <c r="A115" s="48">
        <v>33154</v>
      </c>
      <c r="B115" s="80" t="s">
        <v>73</v>
      </c>
      <c r="C115" s="81" t="s">
        <v>43</v>
      </c>
      <c r="D115" s="7" t="s">
        <v>48</v>
      </c>
      <c r="E115" s="7" t="s">
        <v>45</v>
      </c>
      <c r="F115" s="50">
        <v>12</v>
      </c>
      <c r="G115" s="17">
        <v>339.69</v>
      </c>
      <c r="H115" s="6">
        <v>215</v>
      </c>
      <c r="I115" s="56">
        <v>157.99534883720929</v>
      </c>
      <c r="J115" s="19">
        <v>3.36</v>
      </c>
      <c r="K115" s="18">
        <v>3.51</v>
      </c>
      <c r="L115" s="18">
        <v>71.632653061224488</v>
      </c>
      <c r="M115" s="20">
        <v>21</v>
      </c>
      <c r="N115" s="20">
        <v>204.05003499999998</v>
      </c>
      <c r="O115" s="62">
        <v>11.660001999999999</v>
      </c>
      <c r="P115" s="20">
        <v>207.1</v>
      </c>
      <c r="Q115" s="20">
        <v>33.49</v>
      </c>
      <c r="R115" s="20">
        <v>86.777038000000005</v>
      </c>
      <c r="S115" s="20">
        <v>44.991304347826087</v>
      </c>
      <c r="T115" s="21">
        <v>1.7591600000000001</v>
      </c>
      <c r="U115" s="20">
        <v>84.56</v>
      </c>
      <c r="V115" s="6">
        <v>12</v>
      </c>
      <c r="W115" s="20">
        <v>49.6</v>
      </c>
      <c r="X115" s="20">
        <v>46</v>
      </c>
      <c r="Y115" s="22">
        <v>4.0823045267489713</v>
      </c>
      <c r="Z115" s="22">
        <v>2.2954091816367268</v>
      </c>
      <c r="AA115" s="20">
        <v>123.00167111743627</v>
      </c>
      <c r="AB115" s="20">
        <v>120.26703800000001</v>
      </c>
      <c r="AC115" s="18">
        <v>1.0227380100392616</v>
      </c>
      <c r="AD115" s="18">
        <v>-2.7346331174362604</v>
      </c>
      <c r="AE115" s="56">
        <v>0.96437566389640517</v>
      </c>
    </row>
    <row r="116" spans="1:31" x14ac:dyDescent="0.3">
      <c r="A116" s="48">
        <v>33154</v>
      </c>
      <c r="B116" s="80" t="s">
        <v>73</v>
      </c>
      <c r="C116" s="81" t="s">
        <v>43</v>
      </c>
      <c r="D116" s="7" t="s">
        <v>48</v>
      </c>
      <c r="E116" s="7" t="s">
        <v>46</v>
      </c>
      <c r="F116" s="50">
        <v>13</v>
      </c>
      <c r="G116" s="17">
        <v>285.36</v>
      </c>
      <c r="H116" s="6">
        <v>196</v>
      </c>
      <c r="I116" s="56">
        <v>145.59183673469389</v>
      </c>
      <c r="J116" s="19">
        <v>3.49</v>
      </c>
      <c r="K116" s="18">
        <v>3.05</v>
      </c>
      <c r="L116" s="18">
        <v>62.244897959183668</v>
      </c>
      <c r="M116" s="20">
        <v>20.5</v>
      </c>
      <c r="N116" s="20">
        <v>198.44670874999997</v>
      </c>
      <c r="O116" s="62">
        <v>11.339811928571427</v>
      </c>
      <c r="P116" s="20">
        <v>199.4</v>
      </c>
      <c r="Q116" s="20">
        <v>30.01</v>
      </c>
      <c r="R116" s="20">
        <v>87.256661999999992</v>
      </c>
      <c r="S116" s="20">
        <v>52.523785166240401</v>
      </c>
      <c r="T116" s="21">
        <v>2.0536799999999999</v>
      </c>
      <c r="U116" s="20">
        <v>85.27</v>
      </c>
      <c r="V116" s="6">
        <v>13</v>
      </c>
      <c r="W116" s="20">
        <v>56.4</v>
      </c>
      <c r="X116" s="20">
        <v>54.4</v>
      </c>
      <c r="Y116" s="22">
        <v>4.6419753086419755</v>
      </c>
      <c r="Z116" s="22">
        <v>2.7145708582834334</v>
      </c>
      <c r="AA116" s="20">
        <v>122.12522929234949</v>
      </c>
      <c r="AB116" s="20">
        <v>117.266662</v>
      </c>
      <c r="AC116" s="18">
        <v>1.0414317864044726</v>
      </c>
      <c r="AD116" s="18">
        <v>-4.8585672923494911</v>
      </c>
      <c r="AE116" s="56">
        <v>0.83063950669042896</v>
      </c>
    </row>
    <row r="117" spans="1:31" x14ac:dyDescent="0.3">
      <c r="A117" s="48">
        <v>33154</v>
      </c>
      <c r="B117" s="80" t="s">
        <v>73</v>
      </c>
      <c r="C117" s="81" t="s">
        <v>43</v>
      </c>
      <c r="D117" s="7" t="s">
        <v>48</v>
      </c>
      <c r="E117" s="7" t="s">
        <v>47</v>
      </c>
      <c r="F117" s="50">
        <v>14</v>
      </c>
      <c r="G117" s="17">
        <v>355.86</v>
      </c>
      <c r="H117" s="6">
        <v>228</v>
      </c>
      <c r="I117" s="56">
        <v>156.07894736842104</v>
      </c>
      <c r="J117" s="19">
        <v>3.27</v>
      </c>
      <c r="K117" s="18">
        <v>3.68</v>
      </c>
      <c r="L117" s="18">
        <v>75.102040816326536</v>
      </c>
      <c r="M117" s="20">
        <v>20.100000000000001</v>
      </c>
      <c r="N117" s="20">
        <v>193.97838834999999</v>
      </c>
      <c r="O117" s="62">
        <v>11.084479334285714</v>
      </c>
      <c r="P117" s="20">
        <v>196.1</v>
      </c>
      <c r="Q117" s="20">
        <v>30.2</v>
      </c>
      <c r="R117" s="20">
        <v>88.179240000000007</v>
      </c>
      <c r="S117" s="20">
        <v>45.602046035805628</v>
      </c>
      <c r="T117" s="21">
        <v>1.7830400000000002</v>
      </c>
      <c r="U117" s="20">
        <v>86.18</v>
      </c>
      <c r="V117" s="6">
        <v>14</v>
      </c>
      <c r="W117" s="20">
        <v>47.6</v>
      </c>
      <c r="X117" s="20">
        <v>47.2</v>
      </c>
      <c r="Y117" s="22">
        <v>3.9176954732510283</v>
      </c>
      <c r="Z117" s="22">
        <v>2.3552894211576847</v>
      </c>
      <c r="AA117" s="20">
        <v>126.97707174654087</v>
      </c>
      <c r="AB117" s="20">
        <v>118.37924000000001</v>
      </c>
      <c r="AC117" s="18">
        <v>1.0726295568930908</v>
      </c>
      <c r="AD117" s="18">
        <v>-8.5978317465408622</v>
      </c>
      <c r="AE117" s="56">
        <v>0.96683425049353922</v>
      </c>
    </row>
    <row r="118" spans="1:31" x14ac:dyDescent="0.3">
      <c r="A118" s="48">
        <v>33154</v>
      </c>
      <c r="B118" s="80" t="s">
        <v>73</v>
      </c>
      <c r="C118" s="81" t="s">
        <v>43</v>
      </c>
      <c r="D118" s="7" t="s">
        <v>49</v>
      </c>
      <c r="E118" s="7" t="s">
        <v>45</v>
      </c>
      <c r="F118" s="50">
        <v>15</v>
      </c>
      <c r="G118" s="17">
        <v>342.9</v>
      </c>
      <c r="H118" s="6">
        <v>226</v>
      </c>
      <c r="I118" s="56">
        <v>151.72566371681415</v>
      </c>
      <c r="J118" s="19">
        <v>3.58</v>
      </c>
      <c r="K118" s="18">
        <v>3.63</v>
      </c>
      <c r="L118" s="18">
        <v>74.08163265306122</v>
      </c>
      <c r="M118" s="20">
        <v>20.3</v>
      </c>
      <c r="N118" s="20">
        <v>196.21095514999999</v>
      </c>
      <c r="O118" s="62">
        <v>11.21205458</v>
      </c>
      <c r="P118" s="20">
        <v>197</v>
      </c>
      <c r="Q118" s="20">
        <v>39.619999999999997</v>
      </c>
      <c r="R118" s="20">
        <v>84.202843999999999</v>
      </c>
      <c r="S118" s="20">
        <v>52.523785166240401</v>
      </c>
      <c r="T118" s="21">
        <v>2.0536799999999999</v>
      </c>
      <c r="U118" s="20">
        <v>81.58</v>
      </c>
      <c r="V118" s="6">
        <v>15</v>
      </c>
      <c r="W118" s="20">
        <v>51.2</v>
      </c>
      <c r="X118" s="20">
        <v>48</v>
      </c>
      <c r="Y118" s="22">
        <v>4.2139917695473255</v>
      </c>
      <c r="Z118" s="22">
        <v>2.3952095808383236</v>
      </c>
      <c r="AA118" s="20">
        <v>133.21461916968727</v>
      </c>
      <c r="AB118" s="20">
        <v>123.822844</v>
      </c>
      <c r="AC118" s="18">
        <v>1.0758484853545058</v>
      </c>
      <c r="AD118" s="18">
        <v>-9.3917751696872642</v>
      </c>
      <c r="AE118" s="56">
        <v>0.80156869629153527</v>
      </c>
    </row>
    <row r="119" spans="1:31" x14ac:dyDescent="0.3">
      <c r="A119" s="48">
        <v>33154</v>
      </c>
      <c r="B119" s="80" t="s">
        <v>73</v>
      </c>
      <c r="C119" s="81" t="s">
        <v>43</v>
      </c>
      <c r="D119" s="7" t="s">
        <v>49</v>
      </c>
      <c r="E119" s="7" t="s">
        <v>46</v>
      </c>
      <c r="F119" s="50">
        <v>16</v>
      </c>
      <c r="G119" s="17">
        <v>340.69</v>
      </c>
      <c r="H119" s="6">
        <v>220</v>
      </c>
      <c r="I119" s="56">
        <v>154.85909090909092</v>
      </c>
      <c r="J119" s="19">
        <v>3.73</v>
      </c>
      <c r="K119" s="18">
        <v>3.13</v>
      </c>
      <c r="L119" s="18">
        <v>63.877551020408163</v>
      </c>
      <c r="M119" s="20">
        <v>21.2</v>
      </c>
      <c r="N119" s="20">
        <v>206.29694239999998</v>
      </c>
      <c r="O119" s="62">
        <v>11.788396708571428</v>
      </c>
      <c r="P119" s="20">
        <v>206.5</v>
      </c>
      <c r="Q119" s="20">
        <v>35.97</v>
      </c>
      <c r="R119" s="20">
        <v>82.571213999999998</v>
      </c>
      <c r="S119" s="20">
        <v>55.984654731457802</v>
      </c>
      <c r="T119" s="21">
        <v>2.1890000000000001</v>
      </c>
      <c r="U119" s="20">
        <v>80.19</v>
      </c>
      <c r="V119" s="6">
        <v>16</v>
      </c>
      <c r="W119" s="20">
        <v>53.2</v>
      </c>
      <c r="X119" s="20">
        <v>49.2</v>
      </c>
      <c r="Y119" s="22">
        <v>4.378600823045268</v>
      </c>
      <c r="Z119" s="22">
        <v>2.4550898203592815</v>
      </c>
      <c r="AA119" s="20">
        <v>126.69589639527051</v>
      </c>
      <c r="AB119" s="20">
        <v>118.541214</v>
      </c>
      <c r="AC119" s="18">
        <v>1.068791959522791</v>
      </c>
      <c r="AD119" s="18">
        <v>-8.1546823952705125</v>
      </c>
      <c r="AE119" s="56">
        <v>0.73744505879396982</v>
      </c>
    </row>
    <row r="120" spans="1:31" x14ac:dyDescent="0.3">
      <c r="A120" s="48">
        <v>33154</v>
      </c>
      <c r="B120" s="80" t="s">
        <v>73</v>
      </c>
      <c r="C120" s="81" t="s">
        <v>43</v>
      </c>
      <c r="D120" s="7" t="s">
        <v>49</v>
      </c>
      <c r="E120" s="81" t="s">
        <v>47</v>
      </c>
      <c r="F120" s="50">
        <v>17</v>
      </c>
      <c r="G120" s="17">
        <v>242.64</v>
      </c>
      <c r="H120" s="31">
        <v>178</v>
      </c>
      <c r="I120" s="56">
        <v>136.31460674157302</v>
      </c>
      <c r="J120" s="19">
        <v>3.69</v>
      </c>
      <c r="K120" s="85">
        <v>2.95</v>
      </c>
      <c r="L120" s="85">
        <v>60.204081632653065</v>
      </c>
      <c r="M120" s="86">
        <v>20</v>
      </c>
      <c r="N120" s="86">
        <v>192.86329999999998</v>
      </c>
      <c r="O120" s="62">
        <v>11.020759999999999</v>
      </c>
      <c r="P120" s="86">
        <v>193.7</v>
      </c>
      <c r="Q120" s="86">
        <v>31.17</v>
      </c>
      <c r="R120" s="86">
        <v>84.303453999999988</v>
      </c>
      <c r="S120" s="86">
        <v>54.559590792838875</v>
      </c>
      <c r="T120" s="87">
        <v>2.1332800000000001</v>
      </c>
      <c r="U120" s="86">
        <v>82.24</v>
      </c>
      <c r="V120" s="31">
        <v>17</v>
      </c>
      <c r="W120" s="86">
        <v>54</v>
      </c>
      <c r="X120" s="86">
        <v>52</v>
      </c>
      <c r="Y120" s="88">
        <v>4.4444444444444446</v>
      </c>
      <c r="Z120" s="88">
        <v>2.5948103792415171</v>
      </c>
      <c r="AA120" s="86">
        <v>121.8029272491779</v>
      </c>
      <c r="AB120" s="86">
        <v>115.47345399999999</v>
      </c>
      <c r="AC120" s="85">
        <v>1.0548132322185315</v>
      </c>
      <c r="AD120" s="85">
        <v>-6.3294732491779087</v>
      </c>
      <c r="AE120" s="56">
        <v>0.77258143595777384</v>
      </c>
    </row>
    <row r="121" spans="1:31" x14ac:dyDescent="0.3">
      <c r="A121" s="48">
        <v>33098</v>
      </c>
      <c r="B121" s="80" t="s">
        <v>65</v>
      </c>
      <c r="C121" s="7" t="s">
        <v>50</v>
      </c>
      <c r="D121" s="7" t="s">
        <v>37</v>
      </c>
      <c r="E121" s="1"/>
      <c r="F121" s="50">
        <v>18</v>
      </c>
      <c r="G121" s="17">
        <v>268.01</v>
      </c>
      <c r="H121" s="6">
        <v>166</v>
      </c>
      <c r="I121" s="56">
        <v>161.45180722891567</v>
      </c>
      <c r="J121" s="19">
        <v>3.13</v>
      </c>
      <c r="K121" s="18">
        <v>6.5</v>
      </c>
      <c r="L121" s="18">
        <v>132.65306122448982</v>
      </c>
      <c r="M121" s="20">
        <v>16.2</v>
      </c>
      <c r="N121" s="20">
        <v>151.08029739999998</v>
      </c>
      <c r="O121" s="62">
        <v>8.8870763176470575</v>
      </c>
      <c r="P121" s="20">
        <v>160.28909999999999</v>
      </c>
      <c r="Q121" s="20">
        <v>63.955800000000004</v>
      </c>
      <c r="R121" s="20">
        <v>94.730573960000001</v>
      </c>
      <c r="S121" s="20">
        <v>37.05166240409207</v>
      </c>
      <c r="T121" s="21">
        <v>1.44872</v>
      </c>
      <c r="U121" s="20">
        <v>90.496700000000004</v>
      </c>
      <c r="V121" s="6">
        <v>18</v>
      </c>
      <c r="W121" s="20">
        <v>41.2</v>
      </c>
      <c r="X121" s="20">
        <v>48</v>
      </c>
      <c r="Y121" s="22">
        <v>3.3909465020576133</v>
      </c>
      <c r="Z121" s="22">
        <v>2.3952095808383236</v>
      </c>
      <c r="AA121" s="20">
        <v>175.49087971147782</v>
      </c>
      <c r="AB121" s="20">
        <v>158.68637396</v>
      </c>
      <c r="AC121" s="18">
        <v>1.1058975974566898</v>
      </c>
      <c r="AD121" s="18">
        <v>-16.804505751477819</v>
      </c>
      <c r="AE121" s="56">
        <v>1.2783579441976365</v>
      </c>
    </row>
    <row r="122" spans="1:31" x14ac:dyDescent="0.3">
      <c r="A122" s="48">
        <v>33105</v>
      </c>
      <c r="B122" s="80" t="s">
        <v>66</v>
      </c>
      <c r="C122" s="7" t="s">
        <v>50</v>
      </c>
      <c r="D122" s="7" t="s">
        <v>37</v>
      </c>
      <c r="E122" s="1"/>
      <c r="F122" s="50">
        <v>18</v>
      </c>
      <c r="G122" s="17">
        <v>308.42</v>
      </c>
      <c r="H122" s="6">
        <v>188</v>
      </c>
      <c r="I122" s="56">
        <v>164.05319148936169</v>
      </c>
      <c r="J122" s="19">
        <v>3.14</v>
      </c>
      <c r="K122" s="18">
        <v>5.76</v>
      </c>
      <c r="L122" s="18">
        <v>117.55102040816325</v>
      </c>
      <c r="M122" s="20">
        <v>15.9</v>
      </c>
      <c r="N122" s="20">
        <v>147.83063634999996</v>
      </c>
      <c r="O122" s="62">
        <v>8.6959197852941159</v>
      </c>
      <c r="P122" s="20">
        <v>157.2243</v>
      </c>
      <c r="Q122" s="20">
        <v>51.101500000000001</v>
      </c>
      <c r="R122" s="20">
        <v>92.843219300000001</v>
      </c>
      <c r="S122" s="20">
        <v>35.219437340153448</v>
      </c>
      <c r="T122" s="21">
        <v>1.3770799999999999</v>
      </c>
      <c r="U122" s="20">
        <v>89.460300000000004</v>
      </c>
      <c r="V122" s="6">
        <v>18</v>
      </c>
      <c r="W122" s="20">
        <v>41.2</v>
      </c>
      <c r="X122" s="20">
        <v>55.6</v>
      </c>
      <c r="Y122" s="22">
        <v>3.3909465020576133</v>
      </c>
      <c r="Z122" s="22">
        <v>2.7744510978043913</v>
      </c>
      <c r="AA122" s="20">
        <v>158.93585534817868</v>
      </c>
      <c r="AB122" s="20">
        <v>143.9447193</v>
      </c>
      <c r="AC122" s="18">
        <v>1.1041450920956339</v>
      </c>
      <c r="AD122" s="18">
        <v>-14.991136048178674</v>
      </c>
      <c r="AE122" s="56">
        <v>1.3180678953401401</v>
      </c>
    </row>
    <row r="123" spans="1:31" x14ac:dyDescent="0.3">
      <c r="A123" s="48">
        <v>33105</v>
      </c>
      <c r="B123" s="80" t="s">
        <v>66</v>
      </c>
      <c r="C123" s="7" t="s">
        <v>50</v>
      </c>
      <c r="D123" s="7" t="s">
        <v>38</v>
      </c>
      <c r="E123" s="84"/>
      <c r="F123" s="52">
        <v>19</v>
      </c>
      <c r="G123" s="25">
        <v>235.56</v>
      </c>
      <c r="H123" s="24">
        <v>178</v>
      </c>
      <c r="I123" s="57">
        <v>132.3370786516854</v>
      </c>
      <c r="J123" s="27">
        <v>2.96</v>
      </c>
      <c r="K123" s="26">
        <v>8.33</v>
      </c>
      <c r="L123" s="26">
        <v>170</v>
      </c>
      <c r="M123" s="28">
        <v>14.8</v>
      </c>
      <c r="N123" s="28">
        <v>135.97655839999999</v>
      </c>
      <c r="O123" s="63">
        <v>7.9986210823529404</v>
      </c>
      <c r="P123" s="28">
        <v>144.15100000000001</v>
      </c>
      <c r="Q123" s="28">
        <v>86.047200000000004</v>
      </c>
      <c r="R123" s="28">
        <v>111.38092464</v>
      </c>
      <c r="S123" s="28">
        <v>34.812276214833759</v>
      </c>
      <c r="T123" s="29">
        <v>1.3611600000000001</v>
      </c>
      <c r="U123" s="28">
        <v>105.6846</v>
      </c>
      <c r="V123" s="24">
        <v>19</v>
      </c>
      <c r="W123" s="28">
        <v>46.4</v>
      </c>
      <c r="X123" s="28">
        <v>56.4</v>
      </c>
      <c r="Y123" s="30">
        <v>3.8189300411522633</v>
      </c>
      <c r="Z123" s="30">
        <v>2.8143712574850301</v>
      </c>
      <c r="AA123" s="28">
        <v>211.44557751347105</v>
      </c>
      <c r="AB123" s="28">
        <v>197.42812464000002</v>
      </c>
      <c r="AC123" s="26">
        <v>1.0710002837692509</v>
      </c>
      <c r="AD123" s="26">
        <v>-14.017452873471029</v>
      </c>
      <c r="AE123" s="57">
        <v>1.5997363107290841</v>
      </c>
    </row>
    <row r="124" spans="1:31" x14ac:dyDescent="0.3">
      <c r="A124" s="48">
        <v>33105</v>
      </c>
      <c r="B124" s="80" t="s">
        <v>66</v>
      </c>
      <c r="C124" s="7" t="s">
        <v>50</v>
      </c>
      <c r="D124" s="7" t="s">
        <v>51</v>
      </c>
      <c r="E124" s="1"/>
      <c r="F124" s="50">
        <v>20</v>
      </c>
      <c r="G124" s="17">
        <v>263.48</v>
      </c>
      <c r="H124" s="6">
        <v>203</v>
      </c>
      <c r="I124" s="56">
        <v>129.79310344827587</v>
      </c>
      <c r="J124" s="19">
        <v>3.04</v>
      </c>
      <c r="K124" s="18">
        <v>7.45</v>
      </c>
      <c r="L124" s="18">
        <v>152.0408163265306</v>
      </c>
      <c r="M124" s="20">
        <v>14.8</v>
      </c>
      <c r="N124" s="20">
        <v>135.97655839999999</v>
      </c>
      <c r="O124" s="62">
        <v>7.9986210823529404</v>
      </c>
      <c r="P124" s="20">
        <v>141.07939999999999</v>
      </c>
      <c r="Q124" s="20">
        <v>67.234099999999998</v>
      </c>
      <c r="R124" s="20">
        <v>113.29259742000001</v>
      </c>
      <c r="S124" s="20">
        <v>35.626598465473144</v>
      </c>
      <c r="T124" s="21">
        <v>1.393</v>
      </c>
      <c r="U124" s="20">
        <v>108.8417</v>
      </c>
      <c r="V124" s="6">
        <v>20</v>
      </c>
      <c r="W124" s="20">
        <v>50</v>
      </c>
      <c r="X124" s="20">
        <v>53.6</v>
      </c>
      <c r="Y124" s="22">
        <v>4.1152263374485596</v>
      </c>
      <c r="Z124" s="22">
        <v>2.6746506986027945</v>
      </c>
      <c r="AA124" s="20">
        <v>194.45729182805508</v>
      </c>
      <c r="AB124" s="20">
        <v>180.52669742</v>
      </c>
      <c r="AC124" s="18">
        <v>1.0771663948166359</v>
      </c>
      <c r="AD124" s="18">
        <v>-13.930594408055072</v>
      </c>
      <c r="AE124" s="56">
        <v>1.5900002006898781</v>
      </c>
    </row>
    <row r="125" spans="1:31" x14ac:dyDescent="0.3">
      <c r="A125" s="48">
        <v>33105</v>
      </c>
      <c r="B125" s="80" t="s">
        <v>66</v>
      </c>
      <c r="C125" s="81" t="s">
        <v>50</v>
      </c>
      <c r="D125" s="81">
        <v>3309</v>
      </c>
      <c r="E125" s="81"/>
      <c r="F125" s="50">
        <v>21</v>
      </c>
      <c r="G125" s="17">
        <v>291.92</v>
      </c>
      <c r="H125" s="31">
        <v>201</v>
      </c>
      <c r="I125" s="56">
        <v>145.23383084577114</v>
      </c>
      <c r="J125" s="19">
        <v>3.04</v>
      </c>
      <c r="K125" s="85">
        <v>7.16</v>
      </c>
      <c r="L125" s="85">
        <v>146.12244897959184</v>
      </c>
      <c r="M125" s="86">
        <v>15</v>
      </c>
      <c r="N125" s="86">
        <v>138.124675</v>
      </c>
      <c r="O125" s="62">
        <v>8.1249808823529417</v>
      </c>
      <c r="P125" s="86">
        <v>144.60769999999999</v>
      </c>
      <c r="Q125" s="86">
        <v>67.260900000000007</v>
      </c>
      <c r="R125" s="86">
        <v>105.82277157999999</v>
      </c>
      <c r="S125" s="86">
        <v>35.830179028132989</v>
      </c>
      <c r="T125" s="87">
        <v>1.40096</v>
      </c>
      <c r="U125" s="86">
        <v>101.37009999999999</v>
      </c>
      <c r="V125" s="31">
        <v>21</v>
      </c>
      <c r="W125" s="86">
        <v>48</v>
      </c>
      <c r="X125" s="86">
        <v>56.4</v>
      </c>
      <c r="Y125" s="88">
        <v>3.9506172839506171</v>
      </c>
      <c r="Z125" s="88">
        <v>2.8143712574850301</v>
      </c>
      <c r="AA125" s="86">
        <v>188.71761654916045</v>
      </c>
      <c r="AB125" s="86">
        <v>173.08367157999999</v>
      </c>
      <c r="AC125" s="85">
        <v>1.0903259378914574</v>
      </c>
      <c r="AD125" s="85">
        <v>-15.633944969160467</v>
      </c>
      <c r="AE125" s="56">
        <v>1.4767268047545969</v>
      </c>
    </row>
    <row r="126" spans="1:31" x14ac:dyDescent="0.3">
      <c r="A126" s="48">
        <v>33112</v>
      </c>
      <c r="B126" s="80" t="s">
        <v>67</v>
      </c>
      <c r="C126" s="7" t="s">
        <v>50</v>
      </c>
      <c r="D126" s="7" t="s">
        <v>49</v>
      </c>
      <c r="E126" s="7" t="s">
        <v>37</v>
      </c>
      <c r="F126" s="50">
        <v>18</v>
      </c>
      <c r="G126" s="17">
        <v>428.24</v>
      </c>
      <c r="H126" s="6">
        <v>265</v>
      </c>
      <c r="I126" s="56">
        <v>161.60000000000002</v>
      </c>
      <c r="J126" s="19">
        <v>3.25</v>
      </c>
      <c r="K126" s="18">
        <v>4.41</v>
      </c>
      <c r="L126" s="18">
        <v>90</v>
      </c>
      <c r="M126" s="20">
        <v>17</v>
      </c>
      <c r="N126" s="20">
        <v>159.78111499999997</v>
      </c>
      <c r="O126" s="62">
        <v>9.398889117647057</v>
      </c>
      <c r="P126" s="20">
        <v>165.26419999999999</v>
      </c>
      <c r="Q126" s="20">
        <v>32.222499999999997</v>
      </c>
      <c r="R126" s="20">
        <v>88.541129499999997</v>
      </c>
      <c r="S126" s="20">
        <v>35.830179028132989</v>
      </c>
      <c r="T126" s="21">
        <v>1.40096</v>
      </c>
      <c r="U126" s="20">
        <v>86.408000000000001</v>
      </c>
      <c r="V126" s="6">
        <v>18</v>
      </c>
      <c r="W126" s="20">
        <v>43.2</v>
      </c>
      <c r="X126" s="20">
        <v>52.8</v>
      </c>
      <c r="Y126" s="22">
        <v>3.5555555555555558</v>
      </c>
      <c r="Z126" s="22">
        <v>2.634730538922156</v>
      </c>
      <c r="AA126" s="20">
        <v>132.02046512261069</v>
      </c>
      <c r="AB126" s="20">
        <v>120.76362949999999</v>
      </c>
      <c r="AC126" s="18">
        <v>1.0932137901884664</v>
      </c>
      <c r="AD126" s="18">
        <v>-11.256835622610694</v>
      </c>
      <c r="AE126" s="56">
        <v>1.2355663842829203</v>
      </c>
    </row>
    <row r="127" spans="1:31" x14ac:dyDescent="0.3">
      <c r="A127" s="48">
        <v>33112</v>
      </c>
      <c r="B127" s="80" t="s">
        <v>67</v>
      </c>
      <c r="C127" s="7" t="s">
        <v>50</v>
      </c>
      <c r="D127" s="7" t="s">
        <v>49</v>
      </c>
      <c r="E127" s="7" t="s">
        <v>38</v>
      </c>
      <c r="F127" s="50">
        <v>19</v>
      </c>
      <c r="G127" s="17">
        <v>421.58</v>
      </c>
      <c r="H127" s="6">
        <v>288</v>
      </c>
      <c r="I127" s="56">
        <v>146.38194444444443</v>
      </c>
      <c r="J127" s="19">
        <v>3.15</v>
      </c>
      <c r="K127" s="18">
        <v>5.53</v>
      </c>
      <c r="L127" s="18">
        <v>112.85714285714286</v>
      </c>
      <c r="M127" s="20">
        <v>16.399999999999999</v>
      </c>
      <c r="N127" s="20">
        <v>153.25072159999996</v>
      </c>
      <c r="O127" s="62">
        <v>9.0147483294117627</v>
      </c>
      <c r="P127" s="20">
        <v>157.2148</v>
      </c>
      <c r="Q127" s="20">
        <v>46.015099999999997</v>
      </c>
      <c r="R127" s="20">
        <v>103.99539962</v>
      </c>
      <c r="S127" s="20">
        <v>37.05166240409207</v>
      </c>
      <c r="T127" s="21">
        <v>1.44872</v>
      </c>
      <c r="U127" s="20">
        <v>100.9492</v>
      </c>
      <c r="V127" s="6">
        <v>19</v>
      </c>
      <c r="W127" s="20">
        <v>50.4</v>
      </c>
      <c r="X127" s="20">
        <v>56</v>
      </c>
      <c r="Y127" s="22">
        <v>4.1481481481481479</v>
      </c>
      <c r="Z127" s="22">
        <v>2.7944111776447107</v>
      </c>
      <c r="AA127" s="20">
        <v>156.8513645870278</v>
      </c>
      <c r="AB127" s="20">
        <v>150.01049961999999</v>
      </c>
      <c r="AC127" s="18">
        <v>1.0456025743821717</v>
      </c>
      <c r="AD127" s="18">
        <v>-6.8408649670278123</v>
      </c>
      <c r="AE127" s="56">
        <v>1.4033837198154233</v>
      </c>
    </row>
    <row r="128" spans="1:31" x14ac:dyDescent="0.3">
      <c r="A128" s="48">
        <v>33112</v>
      </c>
      <c r="B128" s="80" t="s">
        <v>67</v>
      </c>
      <c r="C128" s="7" t="s">
        <v>50</v>
      </c>
      <c r="D128" s="7" t="s">
        <v>49</v>
      </c>
      <c r="E128" s="23" t="s">
        <v>51</v>
      </c>
      <c r="F128" s="52">
        <v>20</v>
      </c>
      <c r="G128" s="25">
        <v>480.57</v>
      </c>
      <c r="H128" s="24">
        <v>326</v>
      </c>
      <c r="I128" s="57">
        <v>147.41411042944785</v>
      </c>
      <c r="J128" s="27">
        <v>3.25</v>
      </c>
      <c r="K128" s="26">
        <v>4.79</v>
      </c>
      <c r="L128" s="26">
        <v>97.75510204081634</v>
      </c>
      <c r="M128" s="28">
        <v>16.2</v>
      </c>
      <c r="N128" s="28">
        <v>151.08029739999998</v>
      </c>
      <c r="O128" s="63">
        <v>8.8870763176470575</v>
      </c>
      <c r="P128" s="28">
        <v>155.05969999999999</v>
      </c>
      <c r="Q128" s="28">
        <v>32.963200000000001</v>
      </c>
      <c r="R128" s="28">
        <v>101.88726384</v>
      </c>
      <c r="S128" s="28">
        <v>38.883887468030686</v>
      </c>
      <c r="T128" s="29">
        <v>1.5203599999999999</v>
      </c>
      <c r="U128" s="28">
        <v>99.705100000000002</v>
      </c>
      <c r="V128" s="24">
        <v>20</v>
      </c>
      <c r="W128" s="28">
        <v>52.4</v>
      </c>
      <c r="X128" s="28">
        <v>48.8</v>
      </c>
      <c r="Y128" s="30">
        <v>4.3127572016460904</v>
      </c>
      <c r="Z128" s="30">
        <v>2.435129740518962</v>
      </c>
      <c r="AA128" s="28">
        <v>143.38687645101209</v>
      </c>
      <c r="AB128" s="28">
        <v>134.85046384</v>
      </c>
      <c r="AC128" s="26">
        <v>1.063302804958391</v>
      </c>
      <c r="AD128" s="26">
        <v>-8.5364126110120822</v>
      </c>
      <c r="AE128" s="57">
        <v>1.3101476019311218</v>
      </c>
    </row>
    <row r="129" spans="1:31" ht="15" thickBot="1" x14ac:dyDescent="0.35">
      <c r="A129" s="48">
        <v>33112</v>
      </c>
      <c r="B129" s="80" t="s">
        <v>67</v>
      </c>
      <c r="C129" s="32" t="s">
        <v>50</v>
      </c>
      <c r="D129" s="32" t="s">
        <v>49</v>
      </c>
      <c r="E129" s="32">
        <v>3309</v>
      </c>
      <c r="F129" s="51">
        <v>21</v>
      </c>
      <c r="G129" s="39">
        <v>829</v>
      </c>
      <c r="H129" s="33">
        <v>549</v>
      </c>
      <c r="I129" s="58">
        <v>151.00182149362479</v>
      </c>
      <c r="J129" s="41">
        <v>3.17</v>
      </c>
      <c r="K129" s="40">
        <v>5.4</v>
      </c>
      <c r="L129" s="40">
        <v>110.20408163265306</v>
      </c>
      <c r="M129" s="42">
        <v>15.9</v>
      </c>
      <c r="N129" s="42">
        <v>147.83063634999996</v>
      </c>
      <c r="O129" s="64">
        <v>8.6959197852941159</v>
      </c>
      <c r="P129" s="42">
        <v>152.31780000000001</v>
      </c>
      <c r="Q129" s="42">
        <v>43.900799999999997</v>
      </c>
      <c r="R129" s="42">
        <v>103.07743296</v>
      </c>
      <c r="S129" s="42">
        <v>37.662404092071611</v>
      </c>
      <c r="T129" s="43">
        <v>1.4726000000000001</v>
      </c>
      <c r="U129" s="42">
        <v>100.1712</v>
      </c>
      <c r="V129" s="33">
        <v>21</v>
      </c>
      <c r="W129" s="42">
        <v>50.4</v>
      </c>
      <c r="X129" s="42">
        <v>53.6</v>
      </c>
      <c r="Y129" s="44">
        <v>4.1481481481481479</v>
      </c>
      <c r="Z129" s="44">
        <v>2.6746506986027945</v>
      </c>
      <c r="AA129" s="42">
        <v>154.68928457147561</v>
      </c>
      <c r="AB129" s="42">
        <v>146.97823295999999</v>
      </c>
      <c r="AC129" s="40">
        <v>1.0524639020090423</v>
      </c>
      <c r="AD129" s="40">
        <v>-7.7110516114756251</v>
      </c>
      <c r="AE129" s="58">
        <v>1.3684393687138394</v>
      </c>
    </row>
    <row r="130" spans="1:31" ht="15" thickTop="1" x14ac:dyDescent="0.3">
      <c r="A130" s="47">
        <v>33112</v>
      </c>
      <c r="B130" s="80" t="s">
        <v>67</v>
      </c>
      <c r="C130" s="3" t="s">
        <v>50</v>
      </c>
      <c r="D130" s="3" t="s">
        <v>49</v>
      </c>
      <c r="E130" s="3" t="s">
        <v>52</v>
      </c>
      <c r="F130" s="49">
        <v>23</v>
      </c>
      <c r="G130" s="14">
        <v>829</v>
      </c>
      <c r="H130" s="2">
        <v>549</v>
      </c>
      <c r="I130" s="55">
        <v>151.00182149362479</v>
      </c>
      <c r="J130" s="15">
        <v>3.49</v>
      </c>
      <c r="K130" s="13">
        <v>3.94</v>
      </c>
      <c r="L130" s="13">
        <v>80.408163265306115</v>
      </c>
      <c r="M130" s="4">
        <v>15.8</v>
      </c>
      <c r="N130" s="4">
        <v>146.74900940000001</v>
      </c>
      <c r="O130" s="61">
        <v>8.6322946705882355</v>
      </c>
      <c r="P130" s="4">
        <v>143.3561</v>
      </c>
      <c r="Q130" s="4">
        <v>51.122700000000002</v>
      </c>
      <c r="R130" s="4">
        <v>105.79112274000001</v>
      </c>
      <c r="S130" s="4">
        <v>64.331457800511515</v>
      </c>
      <c r="T130" s="16">
        <v>2.5153600000000003</v>
      </c>
      <c r="U130" s="4">
        <v>102.4068</v>
      </c>
      <c r="V130" s="2">
        <v>23</v>
      </c>
      <c r="W130" s="4">
        <v>70</v>
      </c>
      <c r="X130" s="4">
        <v>87.2</v>
      </c>
      <c r="Y130" s="5">
        <v>5.7613168724279831</v>
      </c>
      <c r="Z130" s="5">
        <v>4.3512974051896212</v>
      </c>
      <c r="AA130" s="4">
        <v>154.85223534343524</v>
      </c>
      <c r="AB130" s="4">
        <v>156.91382274</v>
      </c>
      <c r="AC130" s="13">
        <v>0.98686165845324714</v>
      </c>
      <c r="AD130" s="13">
        <v>2.0615873965647609</v>
      </c>
      <c r="AE130" s="55">
        <v>0.82223476940358431</v>
      </c>
    </row>
    <row r="131" spans="1:31" x14ac:dyDescent="0.3">
      <c r="A131" s="47">
        <v>33119</v>
      </c>
      <c r="B131" s="80" t="s">
        <v>68</v>
      </c>
      <c r="C131" s="3" t="s">
        <v>50</v>
      </c>
      <c r="D131" s="83"/>
      <c r="E131" s="7" t="s">
        <v>37</v>
      </c>
      <c r="F131" s="50">
        <v>18</v>
      </c>
      <c r="G131" s="17">
        <v>1096.33</v>
      </c>
      <c r="H131" s="6">
        <v>600</v>
      </c>
      <c r="I131" s="56">
        <v>182.72166666666664</v>
      </c>
      <c r="J131" s="19">
        <v>3.37</v>
      </c>
      <c r="K131" s="18">
        <v>3.89</v>
      </c>
      <c r="L131" s="18">
        <v>79.387755102040828</v>
      </c>
      <c r="M131" s="20">
        <v>17.8</v>
      </c>
      <c r="N131" s="20">
        <v>168.53292139999999</v>
      </c>
      <c r="O131" s="62">
        <v>9.9137012588235294</v>
      </c>
      <c r="P131" s="20">
        <v>171.2159</v>
      </c>
      <c r="Q131" s="20">
        <v>25.209599999999998</v>
      </c>
      <c r="R131" s="20">
        <v>82.622175519999999</v>
      </c>
      <c r="S131" s="20">
        <v>34.405115089514062</v>
      </c>
      <c r="T131" s="21">
        <v>1.34524</v>
      </c>
      <c r="U131" s="20">
        <v>80.953299999999999</v>
      </c>
      <c r="V131" s="6">
        <v>18</v>
      </c>
      <c r="W131" s="20">
        <v>42</v>
      </c>
      <c r="X131" s="20">
        <v>45.2</v>
      </c>
      <c r="Y131" s="22">
        <v>3.4567901234567899</v>
      </c>
      <c r="Z131" s="22">
        <v>2.2554890219560879</v>
      </c>
      <c r="AA131" s="20">
        <v>119.50514933696778</v>
      </c>
      <c r="AB131" s="20">
        <v>107.83177551999999</v>
      </c>
      <c r="AC131" s="18">
        <v>1.1082554169276633</v>
      </c>
      <c r="AD131" s="18">
        <v>-11.673373816967782</v>
      </c>
      <c r="AE131" s="56">
        <v>1.2007251727691715</v>
      </c>
    </row>
    <row r="132" spans="1:31" x14ac:dyDescent="0.3">
      <c r="A132" s="47">
        <v>33119</v>
      </c>
      <c r="B132" s="80" t="s">
        <v>68</v>
      </c>
      <c r="C132" s="3" t="s">
        <v>50</v>
      </c>
      <c r="D132" s="1"/>
      <c r="E132" s="7" t="s">
        <v>38</v>
      </c>
      <c r="F132" s="50">
        <v>19</v>
      </c>
      <c r="G132" s="17">
        <v>511.3</v>
      </c>
      <c r="H132" s="6">
        <v>314</v>
      </c>
      <c r="I132" s="56">
        <v>162.83439490445861</v>
      </c>
      <c r="J132" s="19">
        <v>3.29</v>
      </c>
      <c r="K132" s="18">
        <v>4.5599999999999996</v>
      </c>
      <c r="L132" s="18">
        <v>93.061224489795904</v>
      </c>
      <c r="M132" s="20">
        <v>17.7</v>
      </c>
      <c r="N132" s="20">
        <v>167.43615714999999</v>
      </c>
      <c r="O132" s="62">
        <v>9.8491857147058823</v>
      </c>
      <c r="P132" s="20">
        <v>169.9393</v>
      </c>
      <c r="Q132" s="20">
        <v>32.047899999999998</v>
      </c>
      <c r="R132" s="20">
        <v>93.432270979999998</v>
      </c>
      <c r="S132" s="20">
        <v>36.03375959079284</v>
      </c>
      <c r="T132" s="21">
        <v>1.4089200000000002</v>
      </c>
      <c r="U132" s="20">
        <v>91.310699999999997</v>
      </c>
      <c r="V132" s="6">
        <v>19</v>
      </c>
      <c r="W132" s="20">
        <v>49.6</v>
      </c>
      <c r="X132" s="20">
        <v>47.2</v>
      </c>
      <c r="Y132" s="22">
        <v>4.0823045267489713</v>
      </c>
      <c r="Z132" s="22">
        <v>2.3552894211576847</v>
      </c>
      <c r="AA132" s="20">
        <v>135.53257802849541</v>
      </c>
      <c r="AB132" s="20">
        <v>125.48017098</v>
      </c>
      <c r="AC132" s="18">
        <v>1.0801115185768884</v>
      </c>
      <c r="AD132" s="18">
        <v>-10.052407048495411</v>
      </c>
      <c r="AE132" s="56">
        <v>1.2964546586456291</v>
      </c>
    </row>
    <row r="133" spans="1:31" x14ac:dyDescent="0.3">
      <c r="A133" s="47">
        <v>33119</v>
      </c>
      <c r="B133" s="80" t="s">
        <v>68</v>
      </c>
      <c r="C133" s="3" t="s">
        <v>50</v>
      </c>
      <c r="D133" s="1"/>
      <c r="E133" s="23" t="s">
        <v>51</v>
      </c>
      <c r="F133" s="52">
        <v>20</v>
      </c>
      <c r="G133" s="25">
        <v>481.09</v>
      </c>
      <c r="H133" s="24">
        <v>292</v>
      </c>
      <c r="I133" s="57">
        <v>164.75684931506848</v>
      </c>
      <c r="J133" s="27">
        <v>3.34</v>
      </c>
      <c r="K133" s="26">
        <v>4.33</v>
      </c>
      <c r="L133" s="26">
        <v>88.367346938775512</v>
      </c>
      <c r="M133" s="28">
        <v>17.3</v>
      </c>
      <c r="N133" s="28">
        <v>163.05706714999999</v>
      </c>
      <c r="O133" s="63">
        <v>9.5915921852941182</v>
      </c>
      <c r="P133" s="28">
        <v>168.9588</v>
      </c>
      <c r="Q133" s="28">
        <v>30.392299999999999</v>
      </c>
      <c r="R133" s="28">
        <v>92.574670260000005</v>
      </c>
      <c r="S133" s="28">
        <v>37.458823529411767</v>
      </c>
      <c r="T133" s="29">
        <v>1.4646400000000002</v>
      </c>
      <c r="U133" s="28">
        <v>90.562700000000007</v>
      </c>
      <c r="V133" s="24">
        <v>20</v>
      </c>
      <c r="W133" s="28">
        <v>50.8</v>
      </c>
      <c r="X133" s="28">
        <v>44.8</v>
      </c>
      <c r="Y133" s="30">
        <v>4.1810699588477362</v>
      </c>
      <c r="Z133" s="30">
        <v>2.2355289421157689</v>
      </c>
      <c r="AA133" s="28">
        <v>132.24276936915078</v>
      </c>
      <c r="AB133" s="28">
        <v>122.96697026000001</v>
      </c>
      <c r="AC133" s="26">
        <v>1.0754332573172951</v>
      </c>
      <c r="AD133" s="26">
        <v>-9.2757991091507677</v>
      </c>
      <c r="AE133" s="57">
        <v>1.2356857682317839</v>
      </c>
    </row>
    <row r="134" spans="1:31" x14ac:dyDescent="0.3">
      <c r="A134" s="47">
        <v>33119</v>
      </c>
      <c r="B134" s="80" t="s">
        <v>68</v>
      </c>
      <c r="C134" s="7" t="s">
        <v>50</v>
      </c>
      <c r="D134" s="1"/>
      <c r="E134" s="7">
        <v>3309</v>
      </c>
      <c r="F134" s="50">
        <v>21</v>
      </c>
      <c r="G134" s="17">
        <v>524.07000000000005</v>
      </c>
      <c r="H134" s="6">
        <v>328</v>
      </c>
      <c r="I134" s="56">
        <v>159.77743902439025</v>
      </c>
      <c r="J134" s="19">
        <v>3.31</v>
      </c>
      <c r="K134" s="18">
        <v>4.5</v>
      </c>
      <c r="L134" s="18">
        <v>91.83673469387756</v>
      </c>
      <c r="M134" s="20">
        <v>17.2</v>
      </c>
      <c r="N134" s="20">
        <v>161.96428639999999</v>
      </c>
      <c r="O134" s="62">
        <v>9.5273109647058813</v>
      </c>
      <c r="P134" s="20">
        <v>165.67060000000001</v>
      </c>
      <c r="Q134" s="20">
        <v>30.551600000000001</v>
      </c>
      <c r="R134" s="20">
        <v>92.370415919999999</v>
      </c>
      <c r="S134" s="20">
        <v>36.848081841432226</v>
      </c>
      <c r="T134" s="21">
        <v>1.44076</v>
      </c>
      <c r="U134" s="20">
        <v>90.347899999999996</v>
      </c>
      <c r="V134" s="6">
        <v>21</v>
      </c>
      <c r="W134" s="20">
        <v>51.6</v>
      </c>
      <c r="X134" s="20">
        <v>47.2</v>
      </c>
      <c r="Y134" s="22">
        <v>4.2469135802469138</v>
      </c>
      <c r="Z134" s="22">
        <v>2.3552894211576847</v>
      </c>
      <c r="AA134" s="20">
        <v>135.28701953671438</v>
      </c>
      <c r="AB134" s="20">
        <v>122.92201592000001</v>
      </c>
      <c r="AC134" s="18">
        <v>1.1005922618838415</v>
      </c>
      <c r="AD134" s="18">
        <v>-12.365003616714375</v>
      </c>
      <c r="AE134" s="56">
        <v>1.2533951742385963</v>
      </c>
    </row>
    <row r="135" spans="1:31" x14ac:dyDescent="0.3">
      <c r="A135" s="47">
        <v>33119</v>
      </c>
      <c r="B135" s="80" t="s">
        <v>68</v>
      </c>
      <c r="C135" s="7" t="s">
        <v>50</v>
      </c>
      <c r="D135" s="81"/>
      <c r="E135" s="81" t="s">
        <v>55</v>
      </c>
      <c r="F135" s="50">
        <v>23</v>
      </c>
      <c r="G135" s="17">
        <v>1096.33</v>
      </c>
      <c r="H135" s="31">
        <v>600</v>
      </c>
      <c r="I135" s="56">
        <v>182.72166666666664</v>
      </c>
      <c r="J135" s="19">
        <v>3.73</v>
      </c>
      <c r="K135" s="85">
        <v>2.94</v>
      </c>
      <c r="L135" s="85">
        <v>60</v>
      </c>
      <c r="M135" s="86">
        <v>18.2</v>
      </c>
      <c r="N135" s="86">
        <v>172.92794539999997</v>
      </c>
      <c r="O135" s="62">
        <v>10.17223208235294</v>
      </c>
      <c r="P135" s="86">
        <v>164.2259</v>
      </c>
      <c r="Q135" s="86">
        <v>34.601900000000001</v>
      </c>
      <c r="R135" s="86">
        <v>89.824845780000004</v>
      </c>
      <c r="S135" s="86">
        <v>58.020460358056262</v>
      </c>
      <c r="T135" s="87">
        <v>2.2685999999999997</v>
      </c>
      <c r="U135" s="86">
        <v>87.534199999999998</v>
      </c>
      <c r="V135" s="31">
        <v>23</v>
      </c>
      <c r="W135" s="86">
        <v>59.2</v>
      </c>
      <c r="X135" s="86">
        <v>74</v>
      </c>
      <c r="Y135" s="88">
        <v>4.8724279835390947</v>
      </c>
      <c r="Z135" s="88">
        <v>3.6926147704590822</v>
      </c>
      <c r="AA135" s="86">
        <v>126.58550311205444</v>
      </c>
      <c r="AB135" s="86">
        <v>124.42674578</v>
      </c>
      <c r="AC135" s="85">
        <v>1.0173496246206692</v>
      </c>
      <c r="AD135" s="85">
        <v>-2.1587573320544351</v>
      </c>
      <c r="AE135" s="56">
        <v>0.77407905095609641</v>
      </c>
    </row>
    <row r="136" spans="1:31" x14ac:dyDescent="0.3">
      <c r="A136" s="47">
        <v>33126</v>
      </c>
      <c r="B136" s="80" t="s">
        <v>69</v>
      </c>
      <c r="C136" s="7" t="s">
        <v>50</v>
      </c>
      <c r="D136" s="1"/>
      <c r="E136" s="7" t="s">
        <v>37</v>
      </c>
      <c r="F136" s="50">
        <v>18</v>
      </c>
      <c r="G136" s="17">
        <v>547.20000000000005</v>
      </c>
      <c r="H136" s="6">
        <v>294</v>
      </c>
      <c r="I136" s="56">
        <v>186.12244897959184</v>
      </c>
      <c r="J136" s="19">
        <v>3.43</v>
      </c>
      <c r="K136" s="18">
        <v>3.46</v>
      </c>
      <c r="L136" s="18">
        <v>70.612244897959187</v>
      </c>
      <c r="M136" s="20">
        <v>19.2</v>
      </c>
      <c r="N136" s="20">
        <v>183.9712744</v>
      </c>
      <c r="O136" s="62">
        <v>10.821839670588234</v>
      </c>
      <c r="P136" s="20">
        <v>184.3895</v>
      </c>
      <c r="Q136" s="20">
        <v>19.414000000000001</v>
      </c>
      <c r="R136" s="20">
        <v>78.787906800000002</v>
      </c>
      <c r="S136" s="20">
        <v>35.219437340153448</v>
      </c>
      <c r="T136" s="21">
        <v>1.3770799999999999</v>
      </c>
      <c r="U136" s="20">
        <v>77.502700000000004</v>
      </c>
      <c r="V136" s="6">
        <v>18</v>
      </c>
      <c r="W136" s="20">
        <v>38.799999999999997</v>
      </c>
      <c r="X136" s="20">
        <v>40.799999999999997</v>
      </c>
      <c r="Y136" s="22">
        <v>3.193415637860082</v>
      </c>
      <c r="Z136" s="22">
        <v>2.0359281437125749</v>
      </c>
      <c r="AA136" s="20">
        <v>111.0610260196853</v>
      </c>
      <c r="AB136" s="20">
        <v>98.201906800000003</v>
      </c>
      <c r="AC136" s="18">
        <v>1.1309457182524412</v>
      </c>
      <c r="AD136" s="18">
        <v>-12.859119219685297</v>
      </c>
      <c r="AE136" s="56">
        <v>1.1185287550033405</v>
      </c>
    </row>
    <row r="137" spans="1:31" x14ac:dyDescent="0.3">
      <c r="A137" s="47">
        <v>33126</v>
      </c>
      <c r="B137" s="80" t="s">
        <v>69</v>
      </c>
      <c r="C137" s="7" t="s">
        <v>50</v>
      </c>
      <c r="D137" s="1"/>
      <c r="E137" s="23" t="s">
        <v>38</v>
      </c>
      <c r="F137" s="52">
        <v>19</v>
      </c>
      <c r="G137" s="25">
        <v>506.4</v>
      </c>
      <c r="H137" s="24">
        <v>300</v>
      </c>
      <c r="I137" s="57">
        <v>168.79999999999998</v>
      </c>
      <c r="J137" s="27">
        <v>3.41</v>
      </c>
      <c r="K137" s="26">
        <v>3.65</v>
      </c>
      <c r="L137" s="26">
        <v>74.489795918367349</v>
      </c>
      <c r="M137" s="28">
        <v>19.3</v>
      </c>
      <c r="N137" s="28">
        <v>185.07998914999999</v>
      </c>
      <c r="O137" s="63">
        <v>10.887058185294118</v>
      </c>
      <c r="P137" s="28">
        <v>186.80879999999999</v>
      </c>
      <c r="Q137" s="28">
        <v>22.747900000000001</v>
      </c>
      <c r="R137" s="28">
        <v>81.954710980000002</v>
      </c>
      <c r="S137" s="28">
        <v>36.848081841432226</v>
      </c>
      <c r="T137" s="29">
        <v>1.44076</v>
      </c>
      <c r="U137" s="28">
        <v>80.448800000000006</v>
      </c>
      <c r="V137" s="24">
        <v>19</v>
      </c>
      <c r="W137" s="28">
        <v>51.2</v>
      </c>
      <c r="X137" s="28">
        <v>46</v>
      </c>
      <c r="Y137" s="30">
        <v>4.2139917695473255</v>
      </c>
      <c r="Z137" s="30">
        <v>2.2954091816367268</v>
      </c>
      <c r="AA137" s="28">
        <v>117.84727871098362</v>
      </c>
      <c r="AB137" s="28">
        <v>104.70261098</v>
      </c>
      <c r="AC137" s="26">
        <v>1.1255428838684307</v>
      </c>
      <c r="AD137" s="26">
        <v>-13.144667730983613</v>
      </c>
      <c r="AE137" s="57">
        <v>1.1120621058739832</v>
      </c>
    </row>
    <row r="138" spans="1:31" x14ac:dyDescent="0.3">
      <c r="A138" s="47">
        <v>33126</v>
      </c>
      <c r="B138" s="80" t="s">
        <v>69</v>
      </c>
      <c r="C138" s="7" t="s">
        <v>50</v>
      </c>
      <c r="D138" s="1"/>
      <c r="E138" s="7" t="s">
        <v>51</v>
      </c>
      <c r="F138" s="50">
        <v>20</v>
      </c>
      <c r="G138" s="17">
        <v>494.6</v>
      </c>
      <c r="H138" s="6">
        <v>305</v>
      </c>
      <c r="I138" s="56">
        <v>162.1639344262295</v>
      </c>
      <c r="J138" s="19">
        <v>3.41</v>
      </c>
      <c r="K138" s="18">
        <v>3.8</v>
      </c>
      <c r="L138" s="18">
        <v>77.551020408163268</v>
      </c>
      <c r="M138" s="20">
        <v>18.8</v>
      </c>
      <c r="N138" s="20">
        <v>179.54438239999999</v>
      </c>
      <c r="O138" s="62">
        <v>10.561434258823528</v>
      </c>
      <c r="P138" s="20">
        <v>179.64070000000001</v>
      </c>
      <c r="Q138" s="20">
        <v>21.107600000000001</v>
      </c>
      <c r="R138" s="20">
        <v>89.390423119999994</v>
      </c>
      <c r="S138" s="20">
        <v>37.662404092071611</v>
      </c>
      <c r="T138" s="21">
        <v>1.4726000000000001</v>
      </c>
      <c r="U138" s="20">
        <v>87.993099999999998</v>
      </c>
      <c r="V138" s="6">
        <v>20</v>
      </c>
      <c r="W138" s="20">
        <v>50.8</v>
      </c>
      <c r="X138" s="20">
        <v>41.2</v>
      </c>
      <c r="Y138" s="22">
        <v>4.1810699588477362</v>
      </c>
      <c r="Z138" s="22">
        <v>2.0558882235528944</v>
      </c>
      <c r="AA138" s="20">
        <v>121.45038268263551</v>
      </c>
      <c r="AB138" s="20">
        <v>110.49802312</v>
      </c>
      <c r="AC138" s="18">
        <v>1.0991181493875355</v>
      </c>
      <c r="AD138" s="18">
        <v>-10.952359562635507</v>
      </c>
      <c r="AE138" s="56">
        <v>1.1867328344397663</v>
      </c>
    </row>
    <row r="139" spans="1:31" x14ac:dyDescent="0.3">
      <c r="A139" s="47">
        <v>33126</v>
      </c>
      <c r="B139" s="80" t="s">
        <v>69</v>
      </c>
      <c r="C139" s="7" t="s">
        <v>50</v>
      </c>
      <c r="D139" s="1"/>
      <c r="E139" s="7">
        <v>3309</v>
      </c>
      <c r="F139" s="50">
        <v>21</v>
      </c>
      <c r="G139" s="17">
        <v>527.5</v>
      </c>
      <c r="H139" s="6">
        <v>312</v>
      </c>
      <c r="I139" s="56">
        <v>169.07051282051282</v>
      </c>
      <c r="J139" s="19">
        <v>3.39</v>
      </c>
      <c r="K139" s="18">
        <v>3.9</v>
      </c>
      <c r="L139" s="18">
        <v>79.591836734693871</v>
      </c>
      <c r="M139" s="20">
        <v>18.7</v>
      </c>
      <c r="N139" s="20">
        <v>178.43965114999997</v>
      </c>
      <c r="O139" s="62">
        <v>10.496450067647057</v>
      </c>
      <c r="P139" s="20">
        <v>180.02520000000001</v>
      </c>
      <c r="Q139" s="20">
        <v>24.1172</v>
      </c>
      <c r="R139" s="20">
        <v>87.653458639999997</v>
      </c>
      <c r="S139" s="20">
        <v>38.273145780051152</v>
      </c>
      <c r="T139" s="21">
        <v>1.49648</v>
      </c>
      <c r="U139" s="20">
        <v>86.056899999999999</v>
      </c>
      <c r="V139" s="6">
        <v>21</v>
      </c>
      <c r="W139" s="20">
        <v>50.4</v>
      </c>
      <c r="X139" s="20">
        <v>45.2</v>
      </c>
      <c r="Y139" s="22">
        <v>4.1481481481481479</v>
      </c>
      <c r="Z139" s="22">
        <v>2.2554890219560879</v>
      </c>
      <c r="AA139" s="20">
        <v>124.26861968484927</v>
      </c>
      <c r="AB139" s="20">
        <v>111.77065863999999</v>
      </c>
      <c r="AC139" s="18">
        <v>1.1118179063890437</v>
      </c>
      <c r="AD139" s="18">
        <v>-12.497961044849276</v>
      </c>
      <c r="AE139" s="56">
        <v>1.1451039214770662</v>
      </c>
    </row>
    <row r="140" spans="1:31" x14ac:dyDescent="0.3">
      <c r="A140" s="47">
        <v>33126</v>
      </c>
      <c r="B140" s="80" t="s">
        <v>69</v>
      </c>
      <c r="C140" s="7" t="s">
        <v>50</v>
      </c>
      <c r="D140" s="81"/>
      <c r="E140" s="81" t="s">
        <v>57</v>
      </c>
      <c r="F140" s="50">
        <v>23</v>
      </c>
      <c r="G140" s="17">
        <v>506.4</v>
      </c>
      <c r="H140" s="31">
        <v>300</v>
      </c>
      <c r="I140" s="56">
        <v>168.79999999999998</v>
      </c>
      <c r="J140" s="19">
        <v>3.75</v>
      </c>
      <c r="K140" s="85">
        <v>3.3</v>
      </c>
      <c r="L140" s="85">
        <v>67.34693877551021</v>
      </c>
      <c r="M140" s="86">
        <v>19.2</v>
      </c>
      <c r="N140" s="86">
        <v>183.9712744</v>
      </c>
      <c r="O140" s="62">
        <v>10.821839670588234</v>
      </c>
      <c r="P140" s="86">
        <v>173.6626</v>
      </c>
      <c r="Q140" s="86">
        <v>35.092700000000001</v>
      </c>
      <c r="R140" s="86">
        <v>88.549336740000001</v>
      </c>
      <c r="S140" s="86">
        <v>61.888491048593352</v>
      </c>
      <c r="T140" s="87">
        <v>2.4198400000000002</v>
      </c>
      <c r="U140" s="86">
        <v>86.226200000000006</v>
      </c>
      <c r="V140" s="31">
        <v>23</v>
      </c>
      <c r="W140" s="86">
        <v>68.400000000000006</v>
      </c>
      <c r="X140" s="86">
        <v>77.599999999999994</v>
      </c>
      <c r="Y140" s="88">
        <v>5.6296296296296298</v>
      </c>
      <c r="Z140" s="88">
        <v>3.8722554890219558</v>
      </c>
      <c r="AA140" s="86">
        <v>138.73731494275515</v>
      </c>
      <c r="AB140" s="86">
        <v>123.64203674000001</v>
      </c>
      <c r="AC140" s="85">
        <v>1.1220885598520038</v>
      </c>
      <c r="AD140" s="85">
        <v>-15.095278202755139</v>
      </c>
      <c r="AE140" s="56">
        <v>0.71539421336410669</v>
      </c>
    </row>
    <row r="141" spans="1:31" x14ac:dyDescent="0.3">
      <c r="A141" s="47">
        <v>33133</v>
      </c>
      <c r="B141" s="80" t="s">
        <v>70</v>
      </c>
      <c r="C141" s="7" t="s">
        <v>50</v>
      </c>
      <c r="D141" s="1"/>
      <c r="E141" s="7" t="s">
        <v>51</v>
      </c>
      <c r="F141" s="50">
        <v>20</v>
      </c>
      <c r="G141" s="19">
        <v>446.62</v>
      </c>
      <c r="H141" s="6">
        <v>295</v>
      </c>
      <c r="I141" s="56">
        <v>151.39661016949154</v>
      </c>
      <c r="J141" s="19">
        <v>3.44</v>
      </c>
      <c r="K141" s="18">
        <v>3.33</v>
      </c>
      <c r="L141" s="18">
        <v>67.959183673469383</v>
      </c>
      <c r="M141" s="20">
        <v>19.7</v>
      </c>
      <c r="N141" s="20">
        <v>189.52281515000001</v>
      </c>
      <c r="O141" s="62">
        <v>11.148400891176472</v>
      </c>
      <c r="P141" s="20">
        <v>186.72380000000001</v>
      </c>
      <c r="Q141" s="20">
        <v>15.8055</v>
      </c>
      <c r="R141" s="20">
        <v>85.560724100000002</v>
      </c>
      <c r="S141" s="20">
        <v>40.512531969309464</v>
      </c>
      <c r="T141" s="21">
        <v>1.5840399999999999</v>
      </c>
      <c r="U141" s="20">
        <v>84.514399999999995</v>
      </c>
      <c r="V141" s="6">
        <v>20</v>
      </c>
      <c r="W141" s="20">
        <v>55.6</v>
      </c>
      <c r="X141" s="20">
        <v>46</v>
      </c>
      <c r="Y141" s="22">
        <v>4.576131687242798</v>
      </c>
      <c r="Z141" s="22">
        <v>2.2954091816367268</v>
      </c>
      <c r="AA141" s="20">
        <v>115.34325651165837</v>
      </c>
      <c r="AB141" s="20">
        <v>101.3662241</v>
      </c>
      <c r="AC141" s="18">
        <v>1.1378864857180606</v>
      </c>
      <c r="AD141" s="18">
        <v>-13.977032411658371</v>
      </c>
      <c r="AE141" s="56">
        <v>1.0559784829644454</v>
      </c>
    </row>
    <row r="142" spans="1:31" x14ac:dyDescent="0.3">
      <c r="A142" s="47">
        <v>33070</v>
      </c>
      <c r="B142" s="80" t="s">
        <v>61</v>
      </c>
      <c r="C142" s="81" t="s">
        <v>35</v>
      </c>
      <c r="D142" s="81" t="s">
        <v>36</v>
      </c>
      <c r="E142" s="81" t="s">
        <v>37</v>
      </c>
      <c r="F142" s="50">
        <v>1</v>
      </c>
      <c r="G142" s="17">
        <v>180.25</v>
      </c>
      <c r="H142" s="31">
        <v>213</v>
      </c>
      <c r="I142" s="56">
        <v>84.624413145539904</v>
      </c>
      <c r="J142" s="19">
        <v>2.56</v>
      </c>
      <c r="K142" s="85">
        <v>24.77</v>
      </c>
      <c r="L142" s="85">
        <v>505.51020408163259</v>
      </c>
      <c r="M142" s="86">
        <v>4.7</v>
      </c>
      <c r="N142" s="86">
        <v>31.640705149999995</v>
      </c>
      <c r="O142" s="62">
        <v>1.8080402942857141</v>
      </c>
      <c r="P142" s="86">
        <v>10.955</v>
      </c>
      <c r="Q142" s="86">
        <v>390.2</v>
      </c>
      <c r="R142" s="86">
        <v>185.60464000000002</v>
      </c>
      <c r="S142" s="86">
        <v>29.51918158567775</v>
      </c>
      <c r="T142" s="87">
        <v>1.1542000000000001</v>
      </c>
      <c r="U142" s="86">
        <v>159.77340000000001</v>
      </c>
      <c r="V142" s="31">
        <v>1</v>
      </c>
      <c r="W142" s="86">
        <v>53.2</v>
      </c>
      <c r="X142" s="86">
        <v>143.6</v>
      </c>
      <c r="Y142" s="88">
        <v>4.378600823045268</v>
      </c>
      <c r="Z142" s="88">
        <v>7.1656686626746504</v>
      </c>
      <c r="AA142" s="86">
        <v>546.57365515303024</v>
      </c>
      <c r="AB142" s="86">
        <v>575.80464000000006</v>
      </c>
      <c r="AC142" s="85">
        <v>0.94923454446812061</v>
      </c>
      <c r="AD142" s="85">
        <v>29.230984846969818</v>
      </c>
      <c r="AE142" s="56">
        <v>3.1437971859296487</v>
      </c>
    </row>
    <row r="143" spans="1:31" x14ac:dyDescent="0.3">
      <c r="A143" s="47">
        <v>33070</v>
      </c>
      <c r="B143" s="80" t="s">
        <v>61</v>
      </c>
      <c r="C143" s="81" t="s">
        <v>35</v>
      </c>
      <c r="D143" s="81" t="s">
        <v>36</v>
      </c>
      <c r="E143" s="7" t="s">
        <v>38</v>
      </c>
      <c r="F143" s="50">
        <v>2</v>
      </c>
      <c r="G143" s="17">
        <v>147.32</v>
      </c>
      <c r="H143" s="6">
        <v>198</v>
      </c>
      <c r="I143" s="56">
        <v>74.404040404040401</v>
      </c>
      <c r="J143" s="19">
        <v>2.5499999999999998</v>
      </c>
      <c r="K143" s="18">
        <v>25.76</v>
      </c>
      <c r="L143" s="18">
        <v>525.71428571428578</v>
      </c>
      <c r="M143" s="20">
        <v>4.7</v>
      </c>
      <c r="N143" s="20">
        <v>31.640705149999995</v>
      </c>
      <c r="O143" s="62">
        <v>1.8080402942857141</v>
      </c>
      <c r="P143" s="20">
        <v>10.29</v>
      </c>
      <c r="Q143" s="20">
        <v>408.75</v>
      </c>
      <c r="R143" s="20">
        <v>206.86125000000001</v>
      </c>
      <c r="S143" s="20">
        <v>31.962148337595906</v>
      </c>
      <c r="T143" s="21">
        <v>1.2497199999999999</v>
      </c>
      <c r="U143" s="20">
        <v>179.80199999999999</v>
      </c>
      <c r="V143" s="6">
        <v>2</v>
      </c>
      <c r="W143" s="20">
        <v>53.2</v>
      </c>
      <c r="X143" s="20">
        <v>97.2</v>
      </c>
      <c r="Y143" s="22">
        <v>4.378600823045268</v>
      </c>
      <c r="Z143" s="22">
        <v>4.8502994011976055</v>
      </c>
      <c r="AA143" s="20">
        <v>566.90533427612456</v>
      </c>
      <c r="AB143" s="20">
        <v>615.61125000000004</v>
      </c>
      <c r="AC143" s="18">
        <v>0.92088202461557456</v>
      </c>
      <c r="AD143" s="18">
        <v>48.705915723875364</v>
      </c>
      <c r="AE143" s="56">
        <v>3.2360348218000836</v>
      </c>
    </row>
    <row r="144" spans="1:31" x14ac:dyDescent="0.3">
      <c r="A144" s="47">
        <v>33070</v>
      </c>
      <c r="B144" s="80" t="s">
        <v>61</v>
      </c>
      <c r="C144" s="81" t="s">
        <v>35</v>
      </c>
      <c r="D144" s="7" t="s">
        <v>39</v>
      </c>
      <c r="E144" s="7" t="s">
        <v>37</v>
      </c>
      <c r="F144" s="50">
        <v>3</v>
      </c>
      <c r="G144" s="17">
        <v>150.54</v>
      </c>
      <c r="H144" s="6">
        <v>194</v>
      </c>
      <c r="I144" s="56">
        <v>77.597938144329888</v>
      </c>
      <c r="J144" s="19">
        <v>2.5499999999999998</v>
      </c>
      <c r="K144" s="18">
        <v>25.3</v>
      </c>
      <c r="L144" s="18">
        <v>516.32653061224482</v>
      </c>
      <c r="M144" s="20">
        <v>4.5999999999999996</v>
      </c>
      <c r="N144" s="20">
        <v>30.648308599999993</v>
      </c>
      <c r="O144" s="62">
        <v>1.7513319199999995</v>
      </c>
      <c r="P144" s="20">
        <v>9.6875</v>
      </c>
      <c r="Q144" s="20">
        <v>399.25</v>
      </c>
      <c r="R144" s="20">
        <v>199.14075</v>
      </c>
      <c r="S144" s="20">
        <v>29.926342710997439</v>
      </c>
      <c r="T144" s="21">
        <v>1.1701199999999998</v>
      </c>
      <c r="U144" s="20">
        <v>172.71039999999999</v>
      </c>
      <c r="V144" s="6">
        <v>3</v>
      </c>
      <c r="W144" s="20">
        <v>58.4</v>
      </c>
      <c r="X144" s="20">
        <v>167.2</v>
      </c>
      <c r="Y144" s="22">
        <v>4.8065843621399171</v>
      </c>
      <c r="Z144" s="22">
        <v>8.3433133732534923</v>
      </c>
      <c r="AA144" s="20">
        <v>559.40277105863572</v>
      </c>
      <c r="AB144" s="20">
        <v>598.39075000000003</v>
      </c>
      <c r="AC144" s="18">
        <v>0.9348452847217904</v>
      </c>
      <c r="AD144" s="18">
        <v>38.987978941364304</v>
      </c>
      <c r="AE144" s="56">
        <v>3.327181539072916</v>
      </c>
    </row>
    <row r="145" spans="1:31" x14ac:dyDescent="0.3">
      <c r="A145" s="47">
        <v>33070</v>
      </c>
      <c r="B145" s="80" t="s">
        <v>61</v>
      </c>
      <c r="C145" s="81" t="s">
        <v>35</v>
      </c>
      <c r="D145" s="7" t="s">
        <v>39</v>
      </c>
      <c r="E145" s="81" t="s">
        <v>38</v>
      </c>
      <c r="F145" s="50">
        <v>4</v>
      </c>
      <c r="G145" s="17">
        <v>151.69</v>
      </c>
      <c r="H145" s="31">
        <v>197</v>
      </c>
      <c r="I145" s="56">
        <v>77</v>
      </c>
      <c r="J145" s="19">
        <v>2.56</v>
      </c>
      <c r="K145" s="85">
        <v>25.19</v>
      </c>
      <c r="L145" s="85">
        <v>514.08163265306132</v>
      </c>
      <c r="M145" s="86">
        <v>4.5</v>
      </c>
      <c r="N145" s="86">
        <v>29.656708749999993</v>
      </c>
      <c r="O145" s="62">
        <v>1.694669071428571</v>
      </c>
      <c r="P145" s="86">
        <v>9.4924999999999997</v>
      </c>
      <c r="Q145" s="86">
        <v>391.95</v>
      </c>
      <c r="R145" s="86">
        <v>205.22659000000002</v>
      </c>
      <c r="S145" s="86">
        <v>30.333503836317135</v>
      </c>
      <c r="T145" s="87">
        <v>1.18604</v>
      </c>
      <c r="U145" s="86">
        <v>179.27950000000001</v>
      </c>
      <c r="V145" s="31">
        <v>4</v>
      </c>
      <c r="W145" s="86">
        <v>56</v>
      </c>
      <c r="X145" s="86">
        <v>106.8</v>
      </c>
      <c r="Y145" s="88">
        <v>4.6090534979423863</v>
      </c>
      <c r="Z145" s="88">
        <v>5.3293413173652695</v>
      </c>
      <c r="AA145" s="86">
        <v>554.35353130468604</v>
      </c>
      <c r="AB145" s="86">
        <v>597.17659000000003</v>
      </c>
      <c r="AC145" s="85">
        <v>0.9282907946955623</v>
      </c>
      <c r="AD145" s="85">
        <v>42.823058695313989</v>
      </c>
      <c r="AE145" s="56">
        <v>3.3828368642710198</v>
      </c>
    </row>
    <row r="146" spans="1:31" x14ac:dyDescent="0.3">
      <c r="A146" s="47">
        <v>33077</v>
      </c>
      <c r="B146" s="80" t="s">
        <v>62</v>
      </c>
      <c r="C146" s="81" t="s">
        <v>35</v>
      </c>
      <c r="D146" s="81" t="s">
        <v>36</v>
      </c>
      <c r="E146" s="23" t="s">
        <v>37</v>
      </c>
      <c r="F146" s="52">
        <v>1</v>
      </c>
      <c r="G146" s="25">
        <v>205.88</v>
      </c>
      <c r="H146" s="24">
        <v>210</v>
      </c>
      <c r="I146" s="57">
        <v>98.038095238095238</v>
      </c>
      <c r="J146" s="27">
        <v>2.62</v>
      </c>
      <c r="K146" s="26">
        <v>21.39</v>
      </c>
      <c r="L146" s="26">
        <v>436.53061224489795</v>
      </c>
      <c r="M146" s="28">
        <v>5.4</v>
      </c>
      <c r="N146" s="28">
        <v>38.609788600000002</v>
      </c>
      <c r="O146" s="63">
        <v>2.2062736342857145</v>
      </c>
      <c r="P146" s="28">
        <v>19.579999999999998</v>
      </c>
      <c r="Q146" s="28">
        <v>318.39999999999998</v>
      </c>
      <c r="R146" s="28">
        <v>185.52418</v>
      </c>
      <c r="S146" s="28">
        <v>27.686956521739134</v>
      </c>
      <c r="T146" s="29">
        <v>1.0825600000000002</v>
      </c>
      <c r="U146" s="28">
        <v>164.4461</v>
      </c>
      <c r="V146" s="24">
        <v>1</v>
      </c>
      <c r="W146" s="28">
        <v>48.8</v>
      </c>
      <c r="X146" s="28">
        <v>142</v>
      </c>
      <c r="Y146" s="30">
        <v>4.0164609053497937</v>
      </c>
      <c r="Z146" s="30">
        <v>7.0858283433133735</v>
      </c>
      <c r="AA146" s="28">
        <v>475.31985801530027</v>
      </c>
      <c r="AB146" s="28">
        <v>503.92417999999998</v>
      </c>
      <c r="AC146" s="26">
        <v>0.94323685363798238</v>
      </c>
      <c r="AD146" s="26">
        <v>28.604321984699709</v>
      </c>
      <c r="AE146" s="57">
        <v>3.3503895571608036</v>
      </c>
    </row>
    <row r="147" spans="1:31" x14ac:dyDescent="0.3">
      <c r="A147" s="47">
        <v>33077</v>
      </c>
      <c r="B147" s="80" t="s">
        <v>62</v>
      </c>
      <c r="C147" s="81" t="s">
        <v>35</v>
      </c>
      <c r="D147" s="81" t="s">
        <v>36</v>
      </c>
      <c r="E147" s="7" t="s">
        <v>38</v>
      </c>
      <c r="F147" s="50">
        <v>2</v>
      </c>
      <c r="G147" s="17">
        <v>168.92</v>
      </c>
      <c r="H147" s="6">
        <v>206</v>
      </c>
      <c r="I147" s="56">
        <v>82</v>
      </c>
      <c r="J147" s="19">
        <v>2.6</v>
      </c>
      <c r="K147" s="18">
        <v>22.48</v>
      </c>
      <c r="L147" s="18">
        <v>458.77551020408163</v>
      </c>
      <c r="M147" s="20">
        <v>5.5</v>
      </c>
      <c r="N147" s="20">
        <v>39.608558749999993</v>
      </c>
      <c r="O147" s="62">
        <v>2.2633462142857139</v>
      </c>
      <c r="P147" s="20">
        <v>19.737500000000001</v>
      </c>
      <c r="Q147" s="20">
        <v>323.3</v>
      </c>
      <c r="R147" s="20">
        <v>202.25155999999998</v>
      </c>
      <c r="S147" s="20">
        <v>33.794373401534521</v>
      </c>
      <c r="T147" s="21">
        <v>1.3213599999999999</v>
      </c>
      <c r="U147" s="20">
        <v>180.84909999999999</v>
      </c>
      <c r="V147" s="6">
        <v>2</v>
      </c>
      <c r="W147" s="20">
        <v>52.4</v>
      </c>
      <c r="X147" s="20">
        <v>112</v>
      </c>
      <c r="Y147" s="22">
        <v>4.3127572016460904</v>
      </c>
      <c r="Z147" s="22">
        <v>5.5888223552894214</v>
      </c>
      <c r="AA147" s="20">
        <v>502.47146316255169</v>
      </c>
      <c r="AB147" s="20">
        <v>525.55155999999988</v>
      </c>
      <c r="AC147" s="18">
        <v>0.95608404846624717</v>
      </c>
      <c r="AD147" s="18">
        <v>23.080096837448195</v>
      </c>
      <c r="AE147" s="56">
        <v>2.9923851168493072</v>
      </c>
    </row>
    <row r="148" spans="1:31" x14ac:dyDescent="0.3">
      <c r="A148" s="47">
        <v>33077</v>
      </c>
      <c r="B148" s="80" t="s">
        <v>62</v>
      </c>
      <c r="C148" s="81" t="s">
        <v>35</v>
      </c>
      <c r="D148" s="7" t="s">
        <v>39</v>
      </c>
      <c r="E148" s="7" t="s">
        <v>37</v>
      </c>
      <c r="F148" s="50">
        <v>3</v>
      </c>
      <c r="G148" s="17">
        <v>157.38</v>
      </c>
      <c r="H148" s="6">
        <v>187</v>
      </c>
      <c r="I148" s="56">
        <v>84.160427807486627</v>
      </c>
      <c r="J148" s="19">
        <v>2.58</v>
      </c>
      <c r="K148" s="18">
        <v>22.26</v>
      </c>
      <c r="L148" s="18">
        <v>454.28571428571428</v>
      </c>
      <c r="M148" s="20">
        <v>5.0999999999999996</v>
      </c>
      <c r="N148" s="20">
        <v>35.618258349999991</v>
      </c>
      <c r="O148" s="62">
        <v>2.0353290485714282</v>
      </c>
      <c r="P148" s="20">
        <v>15.922499999999999</v>
      </c>
      <c r="Q148" s="20">
        <v>326.8</v>
      </c>
      <c r="R148" s="20">
        <v>193.73356000000001</v>
      </c>
      <c r="S148" s="20">
        <v>31.351406649616365</v>
      </c>
      <c r="T148" s="21">
        <v>1.2258399999999998</v>
      </c>
      <c r="U148" s="20">
        <v>172.0994</v>
      </c>
      <c r="V148" s="6">
        <v>3</v>
      </c>
      <c r="W148" s="20">
        <v>60.8</v>
      </c>
      <c r="X148" s="20">
        <v>192</v>
      </c>
      <c r="Y148" s="22">
        <v>5.004115226337448</v>
      </c>
      <c r="Z148" s="22">
        <v>9.5808383233532943</v>
      </c>
      <c r="AA148" s="20">
        <v>500.22207448502138</v>
      </c>
      <c r="AB148" s="20">
        <v>520.53356000000008</v>
      </c>
      <c r="AC148" s="18">
        <v>0.96097948897861896</v>
      </c>
      <c r="AD148" s="18">
        <v>20.311485514978699</v>
      </c>
      <c r="AE148" s="56">
        <v>3.0897108089147038</v>
      </c>
    </row>
    <row r="149" spans="1:31" x14ac:dyDescent="0.3">
      <c r="A149" s="47">
        <v>33077</v>
      </c>
      <c r="B149" s="80" t="s">
        <v>62</v>
      </c>
      <c r="C149" s="81" t="s">
        <v>35</v>
      </c>
      <c r="D149" s="7" t="s">
        <v>39</v>
      </c>
      <c r="E149" s="81" t="s">
        <v>38</v>
      </c>
      <c r="F149" s="50">
        <v>4</v>
      </c>
      <c r="G149" s="17">
        <v>153.30000000000001</v>
      </c>
      <c r="H149" s="31">
        <v>201</v>
      </c>
      <c r="I149" s="56">
        <v>76.268656716417922</v>
      </c>
      <c r="J149" s="19">
        <v>2.61</v>
      </c>
      <c r="K149" s="85">
        <v>22.62</v>
      </c>
      <c r="L149" s="85">
        <v>461.63265306122452</v>
      </c>
      <c r="M149" s="86">
        <v>5.2</v>
      </c>
      <c r="N149" s="86">
        <v>36.614638399999997</v>
      </c>
      <c r="O149" s="62">
        <v>2.0922650514285714</v>
      </c>
      <c r="P149" s="86">
        <v>16.170000000000002</v>
      </c>
      <c r="Q149" s="86">
        <v>331.35</v>
      </c>
      <c r="R149" s="86">
        <v>200.19207</v>
      </c>
      <c r="S149" s="86">
        <v>32.980051150895136</v>
      </c>
      <c r="T149" s="87">
        <v>1.28952</v>
      </c>
      <c r="U149" s="86">
        <v>178.2567</v>
      </c>
      <c r="V149" s="31">
        <v>4</v>
      </c>
      <c r="W149" s="86">
        <v>60.8</v>
      </c>
      <c r="X149" s="86">
        <v>138</v>
      </c>
      <c r="Y149" s="88">
        <v>5.004115226337448</v>
      </c>
      <c r="Z149" s="88">
        <v>6.88622754491018</v>
      </c>
      <c r="AA149" s="86">
        <v>506.50304698336726</v>
      </c>
      <c r="AB149" s="86">
        <v>531.54206999999997</v>
      </c>
      <c r="AC149" s="85">
        <v>0.9528936194709241</v>
      </c>
      <c r="AD149" s="85">
        <v>25.039023016632711</v>
      </c>
      <c r="AE149" s="56">
        <v>3.0350479003815378</v>
      </c>
    </row>
    <row r="150" spans="1:31" x14ac:dyDescent="0.3">
      <c r="A150" s="47">
        <v>33084</v>
      </c>
      <c r="B150" s="80" t="s">
        <v>63</v>
      </c>
      <c r="C150" s="81" t="s">
        <v>35</v>
      </c>
      <c r="D150" s="81" t="s">
        <v>36</v>
      </c>
      <c r="E150" s="81" t="s">
        <v>37</v>
      </c>
      <c r="F150" s="50">
        <v>1</v>
      </c>
      <c r="G150" s="17">
        <v>203.8</v>
      </c>
      <c r="H150" s="31">
        <v>196</v>
      </c>
      <c r="I150" s="56">
        <v>103.97959183673471</v>
      </c>
      <c r="J150" s="19">
        <v>2.68</v>
      </c>
      <c r="K150" s="85">
        <v>16.579999999999998</v>
      </c>
      <c r="L150" s="85">
        <v>338.36734693877548</v>
      </c>
      <c r="M150" s="86">
        <v>8.4</v>
      </c>
      <c r="N150" s="86">
        <v>68.919457600000001</v>
      </c>
      <c r="O150" s="62">
        <v>3.9382547200000002</v>
      </c>
      <c r="P150" s="86">
        <v>53.95</v>
      </c>
      <c r="Q150" s="86">
        <v>224.95</v>
      </c>
      <c r="R150" s="86">
        <v>164.85799</v>
      </c>
      <c r="S150" s="86">
        <v>32.980051150895136</v>
      </c>
      <c r="T150" s="87">
        <v>1.28952</v>
      </c>
      <c r="U150" s="86">
        <v>149.96629999999999</v>
      </c>
      <c r="V150" s="31">
        <v>1</v>
      </c>
      <c r="W150" s="86">
        <v>47.2</v>
      </c>
      <c r="X150" s="86">
        <v>112.4</v>
      </c>
      <c r="Y150" s="88">
        <v>3.88477366255144</v>
      </c>
      <c r="Z150" s="88">
        <v>5.6087824351297408</v>
      </c>
      <c r="AA150" s="86">
        <v>380.84095418735177</v>
      </c>
      <c r="AB150" s="86">
        <v>389.80799000000002</v>
      </c>
      <c r="AC150" s="85">
        <v>0.97699627497977082</v>
      </c>
      <c r="AD150" s="85">
        <v>8.9670358126482483</v>
      </c>
      <c r="AE150" s="56">
        <v>2.4993592224238479</v>
      </c>
    </row>
    <row r="151" spans="1:31" x14ac:dyDescent="0.3">
      <c r="A151" s="47">
        <v>33084</v>
      </c>
      <c r="B151" s="80" t="s">
        <v>63</v>
      </c>
      <c r="C151" s="81" t="s">
        <v>35</v>
      </c>
      <c r="D151" s="23" t="s">
        <v>36</v>
      </c>
      <c r="E151" s="23" t="s">
        <v>38</v>
      </c>
      <c r="F151" s="52">
        <v>2</v>
      </c>
      <c r="G151" s="25">
        <v>178.64</v>
      </c>
      <c r="H151" s="24">
        <v>199</v>
      </c>
      <c r="I151" s="57">
        <v>89.768844221105525</v>
      </c>
      <c r="J151" s="27">
        <v>2.7</v>
      </c>
      <c r="K151" s="26">
        <v>16.88</v>
      </c>
      <c r="L151" s="26">
        <v>344.48979591836729</v>
      </c>
      <c r="M151" s="28">
        <v>8</v>
      </c>
      <c r="N151" s="28">
        <v>64.836740000000006</v>
      </c>
      <c r="O151" s="63">
        <v>3.7049565714285717</v>
      </c>
      <c r="P151" s="28">
        <v>51.424999999999997</v>
      </c>
      <c r="Q151" s="28">
        <v>223.25</v>
      </c>
      <c r="R151" s="28">
        <v>173.81984999999997</v>
      </c>
      <c r="S151" s="28">
        <v>37.255242966751915</v>
      </c>
      <c r="T151" s="29">
        <v>1.45668</v>
      </c>
      <c r="U151" s="28">
        <v>159.04069999999999</v>
      </c>
      <c r="V151" s="24">
        <v>2</v>
      </c>
      <c r="W151" s="28">
        <v>50.4</v>
      </c>
      <c r="X151" s="28">
        <v>95.6</v>
      </c>
      <c r="Y151" s="30">
        <v>4.1481481481481479</v>
      </c>
      <c r="Z151" s="30">
        <v>4.7704590818363277</v>
      </c>
      <c r="AA151" s="28">
        <v>390.66364611510369</v>
      </c>
      <c r="AB151" s="28">
        <v>397.06984999999997</v>
      </c>
      <c r="AC151" s="26">
        <v>0.98386630492117122</v>
      </c>
      <c r="AD151" s="26">
        <v>6.4062038848962857</v>
      </c>
      <c r="AE151" s="57">
        <v>2.3328240021830462</v>
      </c>
    </row>
    <row r="152" spans="1:31" ht="15" thickBot="1" x14ac:dyDescent="0.35">
      <c r="A152" s="47">
        <v>33084</v>
      </c>
      <c r="B152" s="80" t="s">
        <v>63</v>
      </c>
      <c r="C152" s="32" t="s">
        <v>35</v>
      </c>
      <c r="D152" s="32" t="s">
        <v>39</v>
      </c>
      <c r="E152" s="32" t="s">
        <v>37</v>
      </c>
      <c r="F152" s="51">
        <v>3</v>
      </c>
      <c r="G152" s="39">
        <v>165.85</v>
      </c>
      <c r="H152" s="33">
        <v>181</v>
      </c>
      <c r="I152" s="58">
        <v>91.629834254143645</v>
      </c>
      <c r="J152" s="41">
        <v>2.61</v>
      </c>
      <c r="K152" s="40">
        <v>19.27</v>
      </c>
      <c r="L152" s="40">
        <v>393.26530612244898</v>
      </c>
      <c r="M152" s="42">
        <v>6.4</v>
      </c>
      <c r="N152" s="42">
        <v>48.633341600000001</v>
      </c>
      <c r="O152" s="64">
        <v>2.7790480914285713</v>
      </c>
      <c r="P152" s="42">
        <v>33.174999999999997</v>
      </c>
      <c r="Q152" s="42">
        <v>275.3</v>
      </c>
      <c r="R152" s="42">
        <v>176.31836000000001</v>
      </c>
      <c r="S152" s="42">
        <v>32.165728900255758</v>
      </c>
      <c r="T152" s="43">
        <v>1.2576800000000001</v>
      </c>
      <c r="U152" s="42">
        <v>158.09350000000001</v>
      </c>
      <c r="V152" s="33">
        <v>3</v>
      </c>
      <c r="W152" s="42">
        <v>56.8</v>
      </c>
      <c r="X152" s="42">
        <v>166</v>
      </c>
      <c r="Y152" s="44">
        <v>4.6748971193415638</v>
      </c>
      <c r="Z152" s="44">
        <v>8.2834331337325349</v>
      </c>
      <c r="AA152" s="42">
        <v>438.38936527577886</v>
      </c>
      <c r="AB152" s="42">
        <v>451.61836000000005</v>
      </c>
      <c r="AC152" s="40">
        <v>0.97070757990392331</v>
      </c>
      <c r="AD152" s="40">
        <v>13.228994724221195</v>
      </c>
      <c r="AE152" s="58">
        <v>2.7407797993130205</v>
      </c>
    </row>
    <row r="153" spans="1:31" ht="15" thickTop="1" x14ac:dyDescent="0.3">
      <c r="A153" s="47">
        <v>33084</v>
      </c>
      <c r="B153" s="80" t="s">
        <v>63</v>
      </c>
      <c r="C153" s="3" t="s">
        <v>35</v>
      </c>
      <c r="D153" s="3" t="s">
        <v>39</v>
      </c>
      <c r="E153" s="3" t="s">
        <v>38</v>
      </c>
      <c r="F153" s="49">
        <v>4</v>
      </c>
      <c r="G153" s="14">
        <v>161.88999999999999</v>
      </c>
      <c r="H153" s="2">
        <v>192</v>
      </c>
      <c r="I153" s="55">
        <v>84.317708333333329</v>
      </c>
      <c r="J153" s="15">
        <v>2.61</v>
      </c>
      <c r="K153" s="13">
        <v>20.420000000000002</v>
      </c>
      <c r="L153" s="13">
        <v>416.73469387755108</v>
      </c>
      <c r="M153" s="4">
        <v>6.2</v>
      </c>
      <c r="N153" s="4">
        <v>46.622257399999995</v>
      </c>
      <c r="O153" s="61">
        <v>2.664128994285714</v>
      </c>
      <c r="P153" s="4">
        <v>29.65</v>
      </c>
      <c r="Q153" s="4">
        <v>292.10000000000002</v>
      </c>
      <c r="R153" s="4">
        <v>184.24271999999999</v>
      </c>
      <c r="S153" s="4">
        <v>32.980051150895136</v>
      </c>
      <c r="T153" s="16">
        <v>1.28952</v>
      </c>
      <c r="U153" s="4">
        <v>164.9057</v>
      </c>
      <c r="V153" s="2">
        <v>4</v>
      </c>
      <c r="W153" s="4">
        <v>53.2</v>
      </c>
      <c r="X153" s="4">
        <v>121.6</v>
      </c>
      <c r="Y153" s="5">
        <v>4.378600823045268</v>
      </c>
      <c r="Z153" s="5">
        <v>6.0678642714570854</v>
      </c>
      <c r="AA153" s="4">
        <v>460.16121012294855</v>
      </c>
      <c r="AB153" s="4">
        <v>476.34271999999999</v>
      </c>
      <c r="AC153" s="13">
        <v>0.966029689973951</v>
      </c>
      <c r="AD153" s="13">
        <v>16.18150987705144</v>
      </c>
      <c r="AE153" s="55">
        <v>2.7932449097338545</v>
      </c>
    </row>
    <row r="154" spans="1:31" x14ac:dyDescent="0.3">
      <c r="A154" s="47">
        <v>33091</v>
      </c>
      <c r="B154" s="80" t="s">
        <v>64</v>
      </c>
      <c r="C154" s="3" t="s">
        <v>35</v>
      </c>
      <c r="D154" s="3" t="s">
        <v>36</v>
      </c>
      <c r="E154" s="81" t="s">
        <v>37</v>
      </c>
      <c r="F154" s="50">
        <v>1</v>
      </c>
      <c r="G154" s="17">
        <v>236.6</v>
      </c>
      <c r="H154" s="31">
        <v>191</v>
      </c>
      <c r="I154" s="56">
        <v>123.87434554973822</v>
      </c>
      <c r="J154" s="19">
        <v>2.98</v>
      </c>
      <c r="K154" s="85">
        <v>9.84</v>
      </c>
      <c r="L154" s="85">
        <v>200.81632653061223</v>
      </c>
      <c r="M154" s="86">
        <v>12.2</v>
      </c>
      <c r="N154" s="86">
        <v>108.34104139999999</v>
      </c>
      <c r="O154" s="62">
        <v>6.1909166514285712</v>
      </c>
      <c r="P154" s="86">
        <v>112.648</v>
      </c>
      <c r="Q154" s="86">
        <v>98.089500000000001</v>
      </c>
      <c r="R154" s="86">
        <v>139.51992490000001</v>
      </c>
      <c r="S154" s="86">
        <v>42.344757033248079</v>
      </c>
      <c r="T154" s="87">
        <v>1.65568</v>
      </c>
      <c r="U154" s="86">
        <v>133.0264</v>
      </c>
      <c r="V154" s="31">
        <v>1</v>
      </c>
      <c r="W154" s="86">
        <v>45.6</v>
      </c>
      <c r="X154" s="86">
        <v>90.4</v>
      </c>
      <c r="Y154" s="88">
        <v>3.7530864197530858</v>
      </c>
      <c r="Z154" s="88">
        <v>4.5109780439121758</v>
      </c>
      <c r="AA154" s="86">
        <v>251.42514802752558</v>
      </c>
      <c r="AB154" s="86">
        <v>237.60942490000002</v>
      </c>
      <c r="AC154" s="85">
        <v>1.058144676429986</v>
      </c>
      <c r="AD154" s="85">
        <v>-13.815723127525558</v>
      </c>
      <c r="AE154" s="56">
        <v>1.6474285681985652</v>
      </c>
    </row>
    <row r="155" spans="1:31" x14ac:dyDescent="0.3">
      <c r="A155" s="47">
        <v>33091</v>
      </c>
      <c r="B155" s="80" t="s">
        <v>64</v>
      </c>
      <c r="C155" s="3" t="s">
        <v>35</v>
      </c>
      <c r="D155" s="81" t="s">
        <v>36</v>
      </c>
      <c r="E155" s="7" t="s">
        <v>38</v>
      </c>
      <c r="F155" s="50">
        <v>2</v>
      </c>
      <c r="G155" s="17">
        <v>209.2</v>
      </c>
      <c r="H155" s="6">
        <v>201</v>
      </c>
      <c r="I155" s="56">
        <v>104.07960199004975</v>
      </c>
      <c r="J155" s="19">
        <v>2.92</v>
      </c>
      <c r="K155" s="18">
        <v>10.62</v>
      </c>
      <c r="L155" s="18">
        <v>216.73469387755102</v>
      </c>
      <c r="M155" s="20">
        <v>11.3</v>
      </c>
      <c r="N155" s="20">
        <v>98.900381150000001</v>
      </c>
      <c r="O155" s="62">
        <v>5.6514503514285712</v>
      </c>
      <c r="P155" s="20">
        <v>102.06780000000001</v>
      </c>
      <c r="Q155" s="20">
        <v>102.8001</v>
      </c>
      <c r="R155" s="20">
        <v>153.29786662000001</v>
      </c>
      <c r="S155" s="20">
        <v>44.176982097186695</v>
      </c>
      <c r="T155" s="21">
        <v>1.72732</v>
      </c>
      <c r="U155" s="20">
        <v>146.49250000000001</v>
      </c>
      <c r="V155" s="6">
        <v>2</v>
      </c>
      <c r="W155" s="20">
        <v>48.8</v>
      </c>
      <c r="X155" s="20">
        <v>77.599999999999994</v>
      </c>
      <c r="Y155" s="22">
        <v>4.0164609053497937</v>
      </c>
      <c r="Z155" s="22">
        <v>3.8722554890219558</v>
      </c>
      <c r="AA155" s="20">
        <v>268.80039236910943</v>
      </c>
      <c r="AB155" s="20">
        <v>256.09796662000002</v>
      </c>
      <c r="AC155" s="18">
        <v>1.0495998695997355</v>
      </c>
      <c r="AD155" s="18">
        <v>-12.702425749109409</v>
      </c>
      <c r="AE155" s="56">
        <v>1.7350423155066812</v>
      </c>
    </row>
    <row r="156" spans="1:31" x14ac:dyDescent="0.3">
      <c r="A156" s="47">
        <v>33091</v>
      </c>
      <c r="B156" s="80" t="s">
        <v>64</v>
      </c>
      <c r="C156" s="3" t="s">
        <v>35</v>
      </c>
      <c r="D156" s="7" t="s">
        <v>39</v>
      </c>
      <c r="E156" s="23" t="s">
        <v>37</v>
      </c>
      <c r="F156" s="52">
        <v>3</v>
      </c>
      <c r="G156" s="25">
        <v>196.43</v>
      </c>
      <c r="H156" s="24">
        <v>179</v>
      </c>
      <c r="I156" s="57">
        <v>109.73743016759776</v>
      </c>
      <c r="J156" s="27">
        <v>2.85</v>
      </c>
      <c r="K156" s="26">
        <v>11.89</v>
      </c>
      <c r="L156" s="26">
        <v>242.65306122448982</v>
      </c>
      <c r="M156" s="28">
        <v>10.8</v>
      </c>
      <c r="N156" s="28">
        <v>93.683454400000016</v>
      </c>
      <c r="O156" s="63">
        <v>5.3533402514285724</v>
      </c>
      <c r="P156" s="28">
        <v>95.117400000000004</v>
      </c>
      <c r="Q156" s="28">
        <v>132.364</v>
      </c>
      <c r="R156" s="28">
        <v>150.14979680000002</v>
      </c>
      <c r="S156" s="28">
        <v>40.308951406649612</v>
      </c>
      <c r="T156" s="29">
        <v>1.5760799999999999</v>
      </c>
      <c r="U156" s="28">
        <v>141.38730000000001</v>
      </c>
      <c r="V156" s="24">
        <v>3</v>
      </c>
      <c r="W156" s="28">
        <v>52.4</v>
      </c>
      <c r="X156" s="28">
        <v>119.2</v>
      </c>
      <c r="Y156" s="30">
        <v>4.3127572016460904</v>
      </c>
      <c r="Z156" s="30">
        <v>5.9481037924151696</v>
      </c>
      <c r="AA156" s="28">
        <v>293.22287362520069</v>
      </c>
      <c r="AB156" s="28">
        <v>282.51379680000002</v>
      </c>
      <c r="AC156" s="26">
        <v>1.0379063852686172</v>
      </c>
      <c r="AD156" s="26">
        <v>-10.709076825200668</v>
      </c>
      <c r="AE156" s="57">
        <v>1.8624870104563225</v>
      </c>
    </row>
    <row r="157" spans="1:31" x14ac:dyDescent="0.3">
      <c r="A157" s="47">
        <v>33091</v>
      </c>
      <c r="B157" s="80" t="s">
        <v>64</v>
      </c>
      <c r="C157" s="81" t="s">
        <v>35</v>
      </c>
      <c r="D157" s="7" t="s">
        <v>39</v>
      </c>
      <c r="E157" s="81" t="s">
        <v>38</v>
      </c>
      <c r="F157" s="50">
        <v>4</v>
      </c>
      <c r="G157" s="17">
        <v>183.9</v>
      </c>
      <c r="H157" s="31">
        <v>186</v>
      </c>
      <c r="I157" s="56">
        <v>98.870967741935488</v>
      </c>
      <c r="J157" s="19">
        <v>2.81</v>
      </c>
      <c r="K157" s="85">
        <v>12.28</v>
      </c>
      <c r="L157" s="85">
        <v>250.61224489795919</v>
      </c>
      <c r="M157" s="86">
        <v>10.6</v>
      </c>
      <c r="N157" s="86">
        <v>91.602260600000008</v>
      </c>
      <c r="O157" s="62">
        <v>5.234414891428572</v>
      </c>
      <c r="P157" s="86">
        <v>92.382999999999996</v>
      </c>
      <c r="Q157" s="86">
        <v>131.53649999999999</v>
      </c>
      <c r="R157" s="86">
        <v>158.39571629999998</v>
      </c>
      <c r="S157" s="86">
        <v>40.308951406649612</v>
      </c>
      <c r="T157" s="87">
        <v>1.5760799999999999</v>
      </c>
      <c r="U157" s="86">
        <v>149.68799999999999</v>
      </c>
      <c r="V157" s="31">
        <v>4</v>
      </c>
      <c r="W157" s="86">
        <v>54.4</v>
      </c>
      <c r="X157" s="86">
        <v>94.8</v>
      </c>
      <c r="Y157" s="88">
        <v>4.477366255144033</v>
      </c>
      <c r="Z157" s="88">
        <v>4.7305389221556897</v>
      </c>
      <c r="AA157" s="86">
        <v>300.12910148190849</v>
      </c>
      <c r="AB157" s="86">
        <v>289.93221629999994</v>
      </c>
      <c r="AC157" s="85">
        <v>1.0351698935428328</v>
      </c>
      <c r="AD157" s="85">
        <v>-10.196885181908556</v>
      </c>
      <c r="AE157" s="56">
        <v>1.9647709847628292</v>
      </c>
    </row>
    <row r="158" spans="1:31" x14ac:dyDescent="0.3">
      <c r="A158" s="47">
        <v>33098</v>
      </c>
      <c r="B158" s="80" t="s">
        <v>65</v>
      </c>
      <c r="C158" s="81" t="s">
        <v>35</v>
      </c>
      <c r="D158" s="81" t="s">
        <v>36</v>
      </c>
      <c r="E158" s="81" t="s">
        <v>37</v>
      </c>
      <c r="F158" s="50">
        <v>1</v>
      </c>
      <c r="G158" s="17">
        <v>255.66</v>
      </c>
      <c r="H158" s="31">
        <v>202</v>
      </c>
      <c r="I158" s="56">
        <v>126.56435643564356</v>
      </c>
      <c r="J158" s="19">
        <v>3.18</v>
      </c>
      <c r="K158" s="85">
        <v>6.76</v>
      </c>
      <c r="L158" s="85">
        <v>137.95918367346937</v>
      </c>
      <c r="M158" s="86">
        <v>16</v>
      </c>
      <c r="N158" s="86">
        <v>148.91305999999997</v>
      </c>
      <c r="O158" s="62">
        <v>8.5093177142857126</v>
      </c>
      <c r="P158" s="86">
        <v>154.6275</v>
      </c>
      <c r="Q158" s="86">
        <v>46.257800000000003</v>
      </c>
      <c r="R158" s="86">
        <v>126.63876635999999</v>
      </c>
      <c r="S158" s="86">
        <v>46.00920716112531</v>
      </c>
      <c r="T158" s="87">
        <v>1.7989599999999999</v>
      </c>
      <c r="U158" s="86">
        <v>123.5765</v>
      </c>
      <c r="V158" s="31">
        <v>1</v>
      </c>
      <c r="W158" s="86">
        <v>49.2</v>
      </c>
      <c r="X158" s="86">
        <v>82</v>
      </c>
      <c r="Y158" s="88">
        <v>4.0493827160493829</v>
      </c>
      <c r="Z158" s="88">
        <v>4.0918163672654693</v>
      </c>
      <c r="AA158" s="86">
        <v>192.10958991790955</v>
      </c>
      <c r="AB158" s="86">
        <v>172.89656636000001</v>
      </c>
      <c r="AC158" s="85">
        <v>1.1111243789417122</v>
      </c>
      <c r="AD158" s="85">
        <v>-19.213023557909537</v>
      </c>
      <c r="AE158" s="56">
        <v>1.376232869178859</v>
      </c>
    </row>
    <row r="159" spans="1:31" x14ac:dyDescent="0.3">
      <c r="A159" s="47">
        <v>33098</v>
      </c>
      <c r="B159" s="80" t="s">
        <v>65</v>
      </c>
      <c r="C159" s="81" t="s">
        <v>35</v>
      </c>
      <c r="D159" s="81" t="s">
        <v>36</v>
      </c>
      <c r="E159" s="7" t="s">
        <v>38</v>
      </c>
      <c r="F159" s="50">
        <v>2</v>
      </c>
      <c r="G159" s="17">
        <v>215.9</v>
      </c>
      <c r="H159" s="6">
        <v>211</v>
      </c>
      <c r="I159" s="56">
        <v>102.32227488151659</v>
      </c>
      <c r="J159" s="19">
        <v>3.08</v>
      </c>
      <c r="K159" s="18">
        <v>8.15</v>
      </c>
      <c r="L159" s="18">
        <v>166.32653061224488</v>
      </c>
      <c r="M159" s="20">
        <v>14.2</v>
      </c>
      <c r="N159" s="20">
        <v>129.55132939999999</v>
      </c>
      <c r="O159" s="62">
        <v>7.4029331085714274</v>
      </c>
      <c r="P159" s="20">
        <v>135.47800000000001</v>
      </c>
      <c r="Q159" s="20">
        <v>58.013599999999997</v>
      </c>
      <c r="R159" s="20">
        <v>145.32050031999998</v>
      </c>
      <c r="S159" s="20">
        <v>46.823529411764703</v>
      </c>
      <c r="T159" s="21">
        <v>1.8308</v>
      </c>
      <c r="U159" s="20">
        <v>141.47999999999999</v>
      </c>
      <c r="V159" s="6">
        <v>2</v>
      </c>
      <c r="W159" s="20">
        <v>52</v>
      </c>
      <c r="X159" s="20">
        <v>69.599999999999994</v>
      </c>
      <c r="Y159" s="22">
        <v>4.2798353909465021</v>
      </c>
      <c r="Z159" s="22">
        <v>3.4730538922155687</v>
      </c>
      <c r="AA159" s="20">
        <v>220.90294930717167</v>
      </c>
      <c r="AB159" s="20">
        <v>203.33410031999998</v>
      </c>
      <c r="AC159" s="18">
        <v>1.0864038494257602</v>
      </c>
      <c r="AD159" s="18">
        <v>-17.568848987171691</v>
      </c>
      <c r="AE159" s="56">
        <v>1.5517892622110552</v>
      </c>
    </row>
    <row r="160" spans="1:31" x14ac:dyDescent="0.3">
      <c r="A160" s="47">
        <v>33098</v>
      </c>
      <c r="B160" s="80" t="s">
        <v>65</v>
      </c>
      <c r="C160" s="81" t="s">
        <v>35</v>
      </c>
      <c r="D160" s="23" t="s">
        <v>39</v>
      </c>
      <c r="E160" s="23" t="s">
        <v>37</v>
      </c>
      <c r="F160" s="52">
        <v>3</v>
      </c>
      <c r="G160" s="25">
        <v>215.57</v>
      </c>
      <c r="H160" s="24">
        <v>186</v>
      </c>
      <c r="I160" s="57">
        <v>115.89784946236558</v>
      </c>
      <c r="J160" s="27">
        <v>3.11</v>
      </c>
      <c r="K160" s="26">
        <v>7.67</v>
      </c>
      <c r="L160" s="26">
        <v>156.53061224489795</v>
      </c>
      <c r="M160" s="28">
        <v>15.2</v>
      </c>
      <c r="N160" s="28">
        <v>140.27597839999999</v>
      </c>
      <c r="O160" s="63">
        <v>8.0157701942857127</v>
      </c>
      <c r="P160" s="28">
        <v>147.15350000000001</v>
      </c>
      <c r="Q160" s="28">
        <v>58.727400000000003</v>
      </c>
      <c r="R160" s="28">
        <v>132.70925387999998</v>
      </c>
      <c r="S160" s="28">
        <v>45.398465473145777</v>
      </c>
      <c r="T160" s="29">
        <v>1.77508</v>
      </c>
      <c r="U160" s="28">
        <v>128.82149999999999</v>
      </c>
      <c r="V160" s="24">
        <v>3</v>
      </c>
      <c r="W160" s="28">
        <v>57.2</v>
      </c>
      <c r="X160" s="28">
        <v>110.4</v>
      </c>
      <c r="Y160" s="30">
        <v>4.7078189300411522</v>
      </c>
      <c r="Z160" s="30">
        <v>5.5089820359281436</v>
      </c>
      <c r="AA160" s="28">
        <v>212.14587868401304</v>
      </c>
      <c r="AB160" s="28">
        <v>191.43665387999999</v>
      </c>
      <c r="AC160" s="26">
        <v>1.1081779501693254</v>
      </c>
      <c r="AD160" s="26">
        <v>-20.709224804013047</v>
      </c>
      <c r="AE160" s="57">
        <v>1.4616050619431236</v>
      </c>
    </row>
    <row r="161" spans="1:31" x14ac:dyDescent="0.3">
      <c r="A161" s="47">
        <v>33098</v>
      </c>
      <c r="B161" s="80" t="s">
        <v>65</v>
      </c>
      <c r="C161" s="81" t="s">
        <v>35</v>
      </c>
      <c r="D161" s="7" t="s">
        <v>39</v>
      </c>
      <c r="E161" s="81" t="s">
        <v>38</v>
      </c>
      <c r="F161" s="50">
        <v>4</v>
      </c>
      <c r="G161" s="17">
        <v>211.01</v>
      </c>
      <c r="H161" s="31">
        <v>194</v>
      </c>
      <c r="I161" s="56">
        <v>108.76804123711339</v>
      </c>
      <c r="J161" s="19">
        <v>3.03</v>
      </c>
      <c r="K161" s="85">
        <v>9.15</v>
      </c>
      <c r="L161" s="85">
        <v>186.73469387755105</v>
      </c>
      <c r="M161" s="86">
        <v>12.2</v>
      </c>
      <c r="N161" s="86">
        <v>108.34104139999999</v>
      </c>
      <c r="O161" s="62">
        <v>6.1909166514285712</v>
      </c>
      <c r="P161" s="86">
        <v>129.35740000000001</v>
      </c>
      <c r="Q161" s="86">
        <v>80.761099999999999</v>
      </c>
      <c r="R161" s="86">
        <v>142.09578482000001</v>
      </c>
      <c r="S161" s="86">
        <v>45.398465473145777</v>
      </c>
      <c r="T161" s="87">
        <v>1.77508</v>
      </c>
      <c r="U161" s="86">
        <v>136.74940000000001</v>
      </c>
      <c r="V161" s="31">
        <v>4</v>
      </c>
      <c r="W161" s="86">
        <v>54.4</v>
      </c>
      <c r="X161" s="86">
        <v>90.8</v>
      </c>
      <c r="Y161" s="88">
        <v>4.477366255144033</v>
      </c>
      <c r="Z161" s="88">
        <v>4.5309381237524953</v>
      </c>
      <c r="AA161" s="86">
        <v>241.14146372959334</v>
      </c>
      <c r="AB161" s="86">
        <v>222.85688482</v>
      </c>
      <c r="AC161" s="85">
        <v>1.0820462824128663</v>
      </c>
      <c r="AD161" s="85">
        <v>-18.284578909593336</v>
      </c>
      <c r="AE161" s="56">
        <v>1.5649844475916581</v>
      </c>
    </row>
    <row r="162" spans="1:31" x14ac:dyDescent="0.3">
      <c r="A162" s="47">
        <v>33105</v>
      </c>
      <c r="B162" s="80" t="s">
        <v>66</v>
      </c>
      <c r="C162" s="81" t="s">
        <v>35</v>
      </c>
      <c r="D162" s="81" t="s">
        <v>36</v>
      </c>
      <c r="E162" s="81" t="s">
        <v>37</v>
      </c>
      <c r="F162" s="50">
        <v>1</v>
      </c>
      <c r="G162" s="17">
        <v>295.85000000000002</v>
      </c>
      <c r="H162" s="31">
        <v>205</v>
      </c>
      <c r="I162" s="56">
        <v>144.31707317073173</v>
      </c>
      <c r="J162" s="19">
        <v>3.31</v>
      </c>
      <c r="K162" s="85">
        <v>4.87</v>
      </c>
      <c r="L162" s="85">
        <v>99.387755102040813</v>
      </c>
      <c r="M162" s="86">
        <v>17.7</v>
      </c>
      <c r="N162" s="86">
        <v>167.43615714999999</v>
      </c>
      <c r="O162" s="62">
        <v>9.5677804085714282</v>
      </c>
      <c r="P162" s="86">
        <v>173.15819999999999</v>
      </c>
      <c r="Q162" s="86">
        <v>26.458600000000001</v>
      </c>
      <c r="R162" s="86">
        <v>107.65125931999999</v>
      </c>
      <c r="S162" s="86">
        <v>46.823529411764703</v>
      </c>
      <c r="T162" s="87">
        <v>1.8308</v>
      </c>
      <c r="U162" s="86">
        <v>105.8997</v>
      </c>
      <c r="V162" s="31">
        <v>1</v>
      </c>
      <c r="W162" s="86">
        <v>51.2</v>
      </c>
      <c r="X162" s="86">
        <v>64.400000000000006</v>
      </c>
      <c r="Y162" s="88">
        <v>4.2139917695473255</v>
      </c>
      <c r="Z162" s="88">
        <v>3.2135728542914177</v>
      </c>
      <c r="AA162" s="86">
        <v>153.63884913764426</v>
      </c>
      <c r="AB162" s="86">
        <v>134.10985932</v>
      </c>
      <c r="AC162" s="85">
        <v>1.1456193445930478</v>
      </c>
      <c r="AD162" s="85">
        <v>-19.528989817644259</v>
      </c>
      <c r="AE162" s="56">
        <v>1.1495423419849247</v>
      </c>
    </row>
    <row r="163" spans="1:31" x14ac:dyDescent="0.3">
      <c r="A163" s="47">
        <v>33105</v>
      </c>
      <c r="B163" s="80" t="s">
        <v>66</v>
      </c>
      <c r="C163" s="81" t="s">
        <v>35</v>
      </c>
      <c r="D163" s="81" t="s">
        <v>36</v>
      </c>
      <c r="E163" s="7" t="s">
        <v>38</v>
      </c>
      <c r="F163" s="50">
        <v>2</v>
      </c>
      <c r="G163" s="17">
        <v>261.32</v>
      </c>
      <c r="H163" s="6">
        <v>215</v>
      </c>
      <c r="I163" s="56">
        <v>121.54418604651163</v>
      </c>
      <c r="J163" s="19">
        <v>3.25</v>
      </c>
      <c r="K163" s="18">
        <v>5.34</v>
      </c>
      <c r="L163" s="18">
        <v>108.9795918367347</v>
      </c>
      <c r="M163" s="20">
        <v>16.3</v>
      </c>
      <c r="N163" s="20">
        <v>152.16511115</v>
      </c>
      <c r="O163" s="62">
        <v>8.6951492085714293</v>
      </c>
      <c r="P163" s="20">
        <v>158.61619999999999</v>
      </c>
      <c r="Q163" s="20">
        <v>29.1296</v>
      </c>
      <c r="R163" s="20">
        <v>117.28147951999999</v>
      </c>
      <c r="S163" s="20">
        <v>48.859335038363163</v>
      </c>
      <c r="T163" s="21">
        <v>1.9103999999999999</v>
      </c>
      <c r="U163" s="20">
        <v>115.3531</v>
      </c>
      <c r="V163" s="6">
        <v>2</v>
      </c>
      <c r="W163" s="20">
        <v>52.8</v>
      </c>
      <c r="X163" s="20">
        <v>53.6</v>
      </c>
      <c r="Y163" s="22">
        <v>4.3456790123456797</v>
      </c>
      <c r="Z163" s="22">
        <v>2.6746506986027945</v>
      </c>
      <c r="AA163" s="20">
        <v>164.85925658604631</v>
      </c>
      <c r="AB163" s="20">
        <v>146.41107951999999</v>
      </c>
      <c r="AC163" s="18">
        <v>1.1260026025798564</v>
      </c>
      <c r="AD163" s="18">
        <v>-18.448177066046327</v>
      </c>
      <c r="AE163" s="56">
        <v>1.2001952076088778</v>
      </c>
    </row>
    <row r="164" spans="1:31" x14ac:dyDescent="0.3">
      <c r="A164" s="47">
        <v>33105</v>
      </c>
      <c r="B164" s="80" t="s">
        <v>66</v>
      </c>
      <c r="C164" s="81" t="s">
        <v>35</v>
      </c>
      <c r="D164" s="7" t="s">
        <v>39</v>
      </c>
      <c r="E164" s="7" t="s">
        <v>37</v>
      </c>
      <c r="F164" s="50">
        <v>3</v>
      </c>
      <c r="G164" s="17">
        <v>234.07</v>
      </c>
      <c r="H164" s="6">
        <v>171</v>
      </c>
      <c r="I164" s="56">
        <v>136.88304093567251</v>
      </c>
      <c r="J164" s="19">
        <v>3.25</v>
      </c>
      <c r="K164" s="18">
        <v>5.37</v>
      </c>
      <c r="L164" s="18">
        <v>109.59183673469387</v>
      </c>
      <c r="M164" s="20">
        <v>17.3</v>
      </c>
      <c r="N164" s="20">
        <v>163.05706714999999</v>
      </c>
      <c r="O164" s="62">
        <v>9.3175466942857135</v>
      </c>
      <c r="P164" s="20">
        <v>170.15870000000001</v>
      </c>
      <c r="Q164" s="20">
        <v>34.180700000000002</v>
      </c>
      <c r="R164" s="20">
        <v>111.15426233999999</v>
      </c>
      <c r="S164" s="20">
        <v>47.230690537084392</v>
      </c>
      <c r="T164" s="21">
        <v>1.8467199999999997</v>
      </c>
      <c r="U164" s="20">
        <v>108.89149999999999</v>
      </c>
      <c r="V164" s="6">
        <v>3</v>
      </c>
      <c r="W164" s="20">
        <v>59.6</v>
      </c>
      <c r="X164" s="20">
        <v>87.2</v>
      </c>
      <c r="Y164" s="22">
        <v>4.905349794238683</v>
      </c>
      <c r="Z164" s="22">
        <v>4.3512974051896212</v>
      </c>
      <c r="AA164" s="20">
        <v>166.07917447120656</v>
      </c>
      <c r="AB164" s="20">
        <v>145.33496234</v>
      </c>
      <c r="AC164" s="18">
        <v>1.1427338047033517</v>
      </c>
      <c r="AD164" s="18">
        <v>-20.744212131206552</v>
      </c>
      <c r="AE164" s="56">
        <v>1.1767164641889405</v>
      </c>
    </row>
    <row r="165" spans="1:31" x14ac:dyDescent="0.3">
      <c r="A165" s="47">
        <v>33105</v>
      </c>
      <c r="B165" s="80" t="s">
        <v>66</v>
      </c>
      <c r="C165" s="81" t="s">
        <v>35</v>
      </c>
      <c r="D165" s="7" t="s">
        <v>39</v>
      </c>
      <c r="E165" s="81" t="s">
        <v>38</v>
      </c>
      <c r="F165" s="50">
        <v>4</v>
      </c>
      <c r="G165" s="17">
        <v>243.84</v>
      </c>
      <c r="H165" s="31">
        <v>195</v>
      </c>
      <c r="I165" s="56">
        <v>125.04615384615386</v>
      </c>
      <c r="J165" s="19">
        <v>3.18</v>
      </c>
      <c r="K165" s="85">
        <v>6.25</v>
      </c>
      <c r="L165" s="85">
        <v>127.55102040816327</v>
      </c>
      <c r="M165" s="86">
        <v>15.6</v>
      </c>
      <c r="N165" s="86">
        <v>144.58814559999996</v>
      </c>
      <c r="O165" s="62">
        <v>8.2621797485714268</v>
      </c>
      <c r="P165" s="86">
        <v>150.8305</v>
      </c>
      <c r="Q165" s="86">
        <v>44.053100000000001</v>
      </c>
      <c r="R165" s="86">
        <v>118.14051522</v>
      </c>
      <c r="S165" s="86">
        <v>46.212787723785169</v>
      </c>
      <c r="T165" s="87">
        <v>1.8069200000000001</v>
      </c>
      <c r="U165" s="86">
        <v>115.2242</v>
      </c>
      <c r="V165" s="31">
        <v>4</v>
      </c>
      <c r="W165" s="86">
        <v>57.2</v>
      </c>
      <c r="X165" s="86">
        <v>65.599999999999994</v>
      </c>
      <c r="Y165" s="88">
        <v>4.7078189300411522</v>
      </c>
      <c r="Z165" s="88">
        <v>3.2734530938123751</v>
      </c>
      <c r="AA165" s="86">
        <v>181.74508015580199</v>
      </c>
      <c r="AB165" s="86">
        <v>162.19361522</v>
      </c>
      <c r="AC165" s="85">
        <v>1.1205439863294391</v>
      </c>
      <c r="AD165" s="85">
        <v>-19.551464935801988</v>
      </c>
      <c r="AE165" s="56">
        <v>1.2782232044312973</v>
      </c>
    </row>
    <row r="166" spans="1:31" x14ac:dyDescent="0.3">
      <c r="A166" s="47">
        <v>33112</v>
      </c>
      <c r="B166" s="80" t="s">
        <v>67</v>
      </c>
      <c r="C166" s="81" t="s">
        <v>35</v>
      </c>
      <c r="D166" s="81" t="s">
        <v>36</v>
      </c>
      <c r="E166" s="81" t="s">
        <v>37</v>
      </c>
      <c r="F166" s="50">
        <v>1</v>
      </c>
      <c r="G166" s="17">
        <v>291.62</v>
      </c>
      <c r="H166" s="31">
        <v>203</v>
      </c>
      <c r="I166" s="56">
        <v>143.65517241379311</v>
      </c>
      <c r="J166" s="19">
        <v>3.48</v>
      </c>
      <c r="K166" s="85">
        <v>3.36</v>
      </c>
      <c r="L166" s="85">
        <v>68.571428571428569</v>
      </c>
      <c r="M166" s="86">
        <v>19.399999999999999</v>
      </c>
      <c r="N166" s="86">
        <v>186.18950059999997</v>
      </c>
      <c r="O166" s="62">
        <v>10.639400034285712</v>
      </c>
      <c r="P166" s="86">
        <v>185.79740000000001</v>
      </c>
      <c r="Q166" s="86">
        <v>19.519200000000001</v>
      </c>
      <c r="R166" s="86">
        <v>104.12777104</v>
      </c>
      <c r="S166" s="86">
        <v>50.691560102301793</v>
      </c>
      <c r="T166" s="87">
        <v>1.9820400000000002</v>
      </c>
      <c r="U166" s="86">
        <v>102.8356</v>
      </c>
      <c r="V166" s="31">
        <v>1</v>
      </c>
      <c r="W166" s="86">
        <v>53.2</v>
      </c>
      <c r="X166" s="86">
        <v>66.8</v>
      </c>
      <c r="Y166" s="88">
        <v>4.378600823045268</v>
      </c>
      <c r="Z166" s="88">
        <v>3.3333333333333335</v>
      </c>
      <c r="AA166" s="86">
        <v>126.97492283010895</v>
      </c>
      <c r="AB166" s="86">
        <v>123.64697104</v>
      </c>
      <c r="AC166" s="85">
        <v>1.0269149479531718</v>
      </c>
      <c r="AD166" s="85">
        <v>-3.3279517901089548</v>
      </c>
      <c r="AE166" s="56">
        <v>1.0270720690964863</v>
      </c>
    </row>
    <row r="167" spans="1:31" x14ac:dyDescent="0.3">
      <c r="A167" s="47">
        <v>33112</v>
      </c>
      <c r="B167" s="80" t="s">
        <v>67</v>
      </c>
      <c r="C167" s="81" t="s">
        <v>35</v>
      </c>
      <c r="D167" s="81" t="s">
        <v>36</v>
      </c>
      <c r="E167" s="7" t="s">
        <v>38</v>
      </c>
      <c r="F167" s="50">
        <v>2</v>
      </c>
      <c r="G167" s="17">
        <v>251.25</v>
      </c>
      <c r="H167" s="6">
        <v>201</v>
      </c>
      <c r="I167" s="56">
        <v>125</v>
      </c>
      <c r="J167" s="19">
        <v>3.38</v>
      </c>
      <c r="K167" s="18">
        <v>3.84</v>
      </c>
      <c r="L167" s="18">
        <v>78.367346938775512</v>
      </c>
      <c r="M167" s="20">
        <v>17.8</v>
      </c>
      <c r="N167" s="20">
        <v>168.53292139999999</v>
      </c>
      <c r="O167" s="62">
        <v>9.6304526514285715</v>
      </c>
      <c r="P167" s="20">
        <v>170.0839</v>
      </c>
      <c r="Q167" s="20">
        <v>18.465699999999998</v>
      </c>
      <c r="R167" s="20">
        <v>119.03082934000001</v>
      </c>
      <c r="S167" s="20">
        <v>52.727365728900253</v>
      </c>
      <c r="T167" s="21">
        <v>2.0616399999999997</v>
      </c>
      <c r="U167" s="20">
        <v>117.80840000000001</v>
      </c>
      <c r="V167" s="6">
        <v>2</v>
      </c>
      <c r="W167" s="20">
        <v>54</v>
      </c>
      <c r="X167" s="20">
        <v>51.6</v>
      </c>
      <c r="Y167" s="22">
        <v>4.4444444444444446</v>
      </c>
      <c r="Z167" s="22">
        <v>2.5748502994011977</v>
      </c>
      <c r="AA167" s="20">
        <v>138.11400741152141</v>
      </c>
      <c r="AB167" s="20">
        <v>137.49652934</v>
      </c>
      <c r="AC167" s="18">
        <v>1.0044908629656719</v>
      </c>
      <c r="AD167" s="18">
        <v>-0.61747807152141831</v>
      </c>
      <c r="AE167" s="56">
        <v>1.1287386321554687</v>
      </c>
    </row>
    <row r="168" spans="1:31" x14ac:dyDescent="0.3">
      <c r="A168" s="47">
        <v>33112</v>
      </c>
      <c r="B168" s="80" t="s">
        <v>67</v>
      </c>
      <c r="C168" s="81" t="s">
        <v>35</v>
      </c>
      <c r="D168" s="7" t="s">
        <v>39</v>
      </c>
      <c r="E168" s="7" t="s">
        <v>37</v>
      </c>
      <c r="F168" s="50">
        <v>3</v>
      </c>
      <c r="G168" s="17">
        <v>248.87</v>
      </c>
      <c r="H168" s="6">
        <v>183</v>
      </c>
      <c r="I168" s="56">
        <v>135.99453551912569</v>
      </c>
      <c r="J168" s="19">
        <v>3.43</v>
      </c>
      <c r="K168" s="18">
        <v>3.86</v>
      </c>
      <c r="L168" s="18">
        <v>78.775510204081627</v>
      </c>
      <c r="M168" s="20">
        <v>19.399999999999999</v>
      </c>
      <c r="N168" s="20">
        <v>186.18950059999997</v>
      </c>
      <c r="O168" s="62">
        <v>10.639400034285712</v>
      </c>
      <c r="P168" s="20">
        <v>183.4579</v>
      </c>
      <c r="Q168" s="20">
        <v>22.477599999999999</v>
      </c>
      <c r="R168" s="20">
        <v>106.84341712</v>
      </c>
      <c r="S168" s="20">
        <v>50.080818414322252</v>
      </c>
      <c r="T168" s="21">
        <v>1.9581600000000001</v>
      </c>
      <c r="U168" s="20">
        <v>105.3554</v>
      </c>
      <c r="V168" s="6">
        <v>3</v>
      </c>
      <c r="W168" s="20">
        <v>62</v>
      </c>
      <c r="X168" s="20">
        <v>88</v>
      </c>
      <c r="Y168" s="22">
        <v>5.1028806584362139</v>
      </c>
      <c r="Z168" s="22">
        <v>4.39121756487026</v>
      </c>
      <c r="AA168" s="20">
        <v>138.35042684171037</v>
      </c>
      <c r="AB168" s="20">
        <v>129.32101711999999</v>
      </c>
      <c r="AC168" s="18">
        <v>1.0698216726313849</v>
      </c>
      <c r="AD168" s="18">
        <v>-9.0294097217103797</v>
      </c>
      <c r="AE168" s="56">
        <v>1.0667099750255342</v>
      </c>
    </row>
    <row r="169" spans="1:31" x14ac:dyDescent="0.3">
      <c r="A169" s="47">
        <v>33112</v>
      </c>
      <c r="B169" s="80" t="s">
        <v>67</v>
      </c>
      <c r="C169" s="81" t="s">
        <v>35</v>
      </c>
      <c r="D169" s="7" t="s">
        <v>39</v>
      </c>
      <c r="E169" s="23" t="s">
        <v>38</v>
      </c>
      <c r="F169" s="52">
        <v>4</v>
      </c>
      <c r="G169" s="25">
        <v>252.11</v>
      </c>
      <c r="H169" s="24">
        <v>197</v>
      </c>
      <c r="I169" s="57">
        <v>127.97461928934011</v>
      </c>
      <c r="J169" s="27">
        <v>3.31</v>
      </c>
      <c r="K169" s="26">
        <v>4.55</v>
      </c>
      <c r="L169" s="26">
        <v>92.857142857142861</v>
      </c>
      <c r="M169" s="28">
        <v>17.7</v>
      </c>
      <c r="N169" s="28">
        <v>167.43615714999999</v>
      </c>
      <c r="O169" s="63">
        <v>9.5677804085714282</v>
      </c>
      <c r="P169" s="28">
        <v>169.05250000000001</v>
      </c>
      <c r="Q169" s="28">
        <v>29.385100000000001</v>
      </c>
      <c r="R169" s="28">
        <v>116.46689362000001</v>
      </c>
      <c r="S169" s="28">
        <v>50.284398976982096</v>
      </c>
      <c r="T169" s="29">
        <v>1.9661200000000001</v>
      </c>
      <c r="U169" s="28">
        <v>114.52160000000001</v>
      </c>
      <c r="V169" s="24">
        <v>4</v>
      </c>
      <c r="W169" s="28">
        <v>60.4</v>
      </c>
      <c r="X169" s="28">
        <v>66</v>
      </c>
      <c r="Y169" s="30">
        <v>4.9711934156378597</v>
      </c>
      <c r="Z169" s="30">
        <v>3.2934131736526946</v>
      </c>
      <c r="AA169" s="28">
        <v>151.40614842341549</v>
      </c>
      <c r="AB169" s="28">
        <v>145.85199362</v>
      </c>
      <c r="AC169" s="26">
        <v>1.0380807602663709</v>
      </c>
      <c r="AD169" s="26">
        <v>-5.5541548034154857</v>
      </c>
      <c r="AE169" s="57">
        <v>1.1580817906694405</v>
      </c>
    </row>
    <row r="170" spans="1:31" x14ac:dyDescent="0.3">
      <c r="A170" s="47">
        <v>33119</v>
      </c>
      <c r="B170" s="80" t="s">
        <v>68</v>
      </c>
      <c r="C170" s="81" t="s">
        <v>35</v>
      </c>
      <c r="D170" s="81" t="s">
        <v>36</v>
      </c>
      <c r="E170" s="81" t="s">
        <v>37</v>
      </c>
      <c r="F170" s="50">
        <v>1</v>
      </c>
      <c r="G170" s="17">
        <v>324.42</v>
      </c>
      <c r="H170" s="31">
        <v>212</v>
      </c>
      <c r="I170" s="56">
        <v>153.02830188679246</v>
      </c>
      <c r="J170" s="19">
        <v>3.56</v>
      </c>
      <c r="K170" s="85">
        <v>3.13</v>
      </c>
      <c r="L170" s="85">
        <v>63.877551020408163</v>
      </c>
      <c r="M170" s="86">
        <v>20.399999999999999</v>
      </c>
      <c r="N170" s="86">
        <v>197.32843359999995</v>
      </c>
      <c r="O170" s="62">
        <v>11.275910491428569</v>
      </c>
      <c r="P170" s="86">
        <v>193.95480000000001</v>
      </c>
      <c r="Q170" s="86">
        <v>15.9323</v>
      </c>
      <c r="R170" s="86">
        <v>105.99801825999999</v>
      </c>
      <c r="S170" s="86">
        <v>53.338107416879794</v>
      </c>
      <c r="T170" s="87">
        <v>2.0855199999999998</v>
      </c>
      <c r="U170" s="86">
        <v>104.94329999999999</v>
      </c>
      <c r="V170" s="31">
        <v>1</v>
      </c>
      <c r="W170" s="86">
        <v>54.4</v>
      </c>
      <c r="X170" s="86">
        <v>60.8</v>
      </c>
      <c r="Y170" s="88">
        <v>4.477366255144033</v>
      </c>
      <c r="Z170" s="88">
        <v>3.0339321357285427</v>
      </c>
      <c r="AA170" s="86">
        <v>124.72695682816054</v>
      </c>
      <c r="AB170" s="86">
        <v>121.93031825999999</v>
      </c>
      <c r="AC170" s="85">
        <v>1.0229363673290599</v>
      </c>
      <c r="AD170" s="85">
        <v>-2.7966385681605459</v>
      </c>
      <c r="AE170" s="56">
        <v>0.99364247620881119</v>
      </c>
    </row>
    <row r="171" spans="1:31" x14ac:dyDescent="0.3">
      <c r="A171" s="47">
        <v>33119</v>
      </c>
      <c r="B171" s="80" t="s">
        <v>68</v>
      </c>
      <c r="C171" s="81" t="s">
        <v>35</v>
      </c>
      <c r="D171" s="81" t="s">
        <v>36</v>
      </c>
      <c r="E171" s="7" t="s">
        <v>38</v>
      </c>
      <c r="F171" s="50">
        <v>2</v>
      </c>
      <c r="G171" s="17">
        <v>291.43</v>
      </c>
      <c r="H171" s="6">
        <v>213</v>
      </c>
      <c r="I171" s="56">
        <v>136.82159624413146</v>
      </c>
      <c r="J171" s="19">
        <v>3.51</v>
      </c>
      <c r="K171" s="18">
        <v>3.35</v>
      </c>
      <c r="L171" s="18">
        <v>68.367346938775512</v>
      </c>
      <c r="M171" s="20">
        <v>18.8</v>
      </c>
      <c r="N171" s="20">
        <v>179.54438239999999</v>
      </c>
      <c r="O171" s="62">
        <v>10.259678994285714</v>
      </c>
      <c r="P171" s="20">
        <v>176.58430000000001</v>
      </c>
      <c r="Q171" s="20">
        <v>16.208200000000001</v>
      </c>
      <c r="R171" s="20">
        <v>109.36148283999999</v>
      </c>
      <c r="S171" s="20">
        <v>53.338107416879794</v>
      </c>
      <c r="T171" s="21">
        <v>2.0855199999999998</v>
      </c>
      <c r="U171" s="20">
        <v>108.2885</v>
      </c>
      <c r="V171" s="6">
        <v>2</v>
      </c>
      <c r="W171" s="20">
        <v>54.8</v>
      </c>
      <c r="X171" s="20">
        <v>49.6</v>
      </c>
      <c r="Y171" s="22">
        <v>4.5102880658436213</v>
      </c>
      <c r="Z171" s="22">
        <v>2.4750499001996009</v>
      </c>
      <c r="AA171" s="20">
        <v>128.69079232169852</v>
      </c>
      <c r="AB171" s="20">
        <v>125.56968284</v>
      </c>
      <c r="AC171" s="18">
        <v>1.0248555973950768</v>
      </c>
      <c r="AD171" s="18">
        <v>-3.1211094816985252</v>
      </c>
      <c r="AE171" s="56">
        <v>1.0251721342984004</v>
      </c>
    </row>
    <row r="172" spans="1:31" x14ac:dyDescent="0.3">
      <c r="A172" s="47">
        <v>33119</v>
      </c>
      <c r="B172" s="80" t="s">
        <v>68</v>
      </c>
      <c r="C172" s="81" t="s">
        <v>35</v>
      </c>
      <c r="D172" s="7" t="s">
        <v>39</v>
      </c>
      <c r="E172" s="7" t="s">
        <v>37</v>
      </c>
      <c r="F172" s="50">
        <v>3</v>
      </c>
      <c r="G172" s="17">
        <v>288.22000000000003</v>
      </c>
      <c r="H172" s="6">
        <v>200</v>
      </c>
      <c r="I172" s="56">
        <v>144.11000000000001</v>
      </c>
      <c r="J172" s="19">
        <v>3.56</v>
      </c>
      <c r="K172" s="18">
        <v>3.25</v>
      </c>
      <c r="L172" s="18">
        <v>66.326530612244909</v>
      </c>
      <c r="M172" s="20">
        <v>20.3</v>
      </c>
      <c r="N172" s="20">
        <v>196.21095514999999</v>
      </c>
      <c r="O172" s="62">
        <v>11.21205458</v>
      </c>
      <c r="P172" s="20">
        <v>193.30029999999999</v>
      </c>
      <c r="Q172" s="20">
        <v>22.083200000000001</v>
      </c>
      <c r="R172" s="20">
        <v>103.12770784</v>
      </c>
      <c r="S172" s="20">
        <v>53.541687979539638</v>
      </c>
      <c r="T172" s="21">
        <v>2.09348</v>
      </c>
      <c r="U172" s="20">
        <v>101.6658</v>
      </c>
      <c r="V172" s="6">
        <v>3</v>
      </c>
      <c r="W172" s="20">
        <v>62.4</v>
      </c>
      <c r="X172" s="20">
        <v>75.2</v>
      </c>
      <c r="Y172" s="22">
        <v>5.1358024691358031</v>
      </c>
      <c r="Z172" s="22">
        <v>3.7524950099800396</v>
      </c>
      <c r="AA172" s="20">
        <v>128.75651607090037</v>
      </c>
      <c r="AB172" s="20">
        <v>125.21090784</v>
      </c>
      <c r="AC172" s="18">
        <v>1.0283170874811571</v>
      </c>
      <c r="AD172" s="18">
        <v>-3.5456082309003705</v>
      </c>
      <c r="AE172" s="56">
        <v>0.96305992332002222</v>
      </c>
    </row>
    <row r="173" spans="1:31" x14ac:dyDescent="0.3">
      <c r="A173" s="47">
        <v>33119</v>
      </c>
      <c r="B173" s="80" t="s">
        <v>68</v>
      </c>
      <c r="C173" s="81" t="s">
        <v>35</v>
      </c>
      <c r="D173" s="7" t="s">
        <v>39</v>
      </c>
      <c r="E173" s="81" t="s">
        <v>38</v>
      </c>
      <c r="F173" s="50">
        <v>4</v>
      </c>
      <c r="G173" s="17">
        <v>289.14</v>
      </c>
      <c r="H173" s="31">
        <v>205</v>
      </c>
      <c r="I173" s="56">
        <v>141.04390243902438</v>
      </c>
      <c r="J173" s="19">
        <v>3.46</v>
      </c>
      <c r="K173" s="85">
        <v>3.75</v>
      </c>
      <c r="L173" s="85">
        <v>76.530612244897966</v>
      </c>
      <c r="M173" s="86">
        <v>19</v>
      </c>
      <c r="N173" s="86">
        <v>181.756235</v>
      </c>
      <c r="O173" s="62">
        <v>10.386070571428572</v>
      </c>
      <c r="P173" s="86">
        <v>179.6198</v>
      </c>
      <c r="Q173" s="86">
        <v>23.360399999999998</v>
      </c>
      <c r="R173" s="86">
        <v>105.98625848</v>
      </c>
      <c r="S173" s="86">
        <v>51.302301790281327</v>
      </c>
      <c r="T173" s="87">
        <v>2.0059200000000001</v>
      </c>
      <c r="U173" s="86">
        <v>104.43980000000001</v>
      </c>
      <c r="V173" s="31">
        <v>4</v>
      </c>
      <c r="W173" s="86">
        <v>58</v>
      </c>
      <c r="X173" s="86">
        <v>60.8</v>
      </c>
      <c r="Y173" s="88">
        <v>4.7736625514403288</v>
      </c>
      <c r="Z173" s="88">
        <v>3.0339321357285427</v>
      </c>
      <c r="AA173" s="86">
        <v>135.64050872234819</v>
      </c>
      <c r="AB173" s="86">
        <v>129.34665848</v>
      </c>
      <c r="AC173" s="85">
        <v>1.0486587772448823</v>
      </c>
      <c r="AD173" s="85">
        <v>-6.293850242348185</v>
      </c>
      <c r="AE173" s="56">
        <v>1.0329581206050094</v>
      </c>
    </row>
    <row r="174" spans="1:31" x14ac:dyDescent="0.3">
      <c r="A174" s="47">
        <v>33126</v>
      </c>
      <c r="B174" s="80" t="s">
        <v>69</v>
      </c>
      <c r="C174" s="81" t="s">
        <v>35</v>
      </c>
      <c r="D174" s="23" t="s">
        <v>36</v>
      </c>
      <c r="E174" s="23" t="s">
        <v>37</v>
      </c>
      <c r="F174" s="52">
        <v>1</v>
      </c>
      <c r="G174" s="25">
        <v>363.9</v>
      </c>
      <c r="H174" s="24">
        <v>214</v>
      </c>
      <c r="I174" s="57">
        <v>170.04672897196261</v>
      </c>
      <c r="J174" s="27">
        <v>3.68</v>
      </c>
      <c r="K174" s="26">
        <v>3.21</v>
      </c>
      <c r="L174" s="26">
        <v>65.510204081632651</v>
      </c>
      <c r="M174" s="28">
        <v>21.4</v>
      </c>
      <c r="N174" s="28">
        <v>208.54703659999998</v>
      </c>
      <c r="O174" s="63">
        <v>11.916973519999999</v>
      </c>
      <c r="P174" s="28">
        <v>198.1592</v>
      </c>
      <c r="Q174" s="28">
        <v>14.5708</v>
      </c>
      <c r="R174" s="28">
        <v>93.281986960000012</v>
      </c>
      <c r="S174" s="28">
        <v>51.709462915601023</v>
      </c>
      <c r="T174" s="29">
        <v>2.0218400000000001</v>
      </c>
      <c r="U174" s="28">
        <v>92.317400000000006</v>
      </c>
      <c r="V174" s="24">
        <v>1</v>
      </c>
      <c r="W174" s="28">
        <v>55.6</v>
      </c>
      <c r="X174" s="28">
        <v>59.2</v>
      </c>
      <c r="Y174" s="30">
        <v>4.576131687242798</v>
      </c>
      <c r="Z174" s="30">
        <v>2.9540918163672658</v>
      </c>
      <c r="AA174" s="28">
        <v>124.74989050084373</v>
      </c>
      <c r="AB174" s="28">
        <v>107.85278696000002</v>
      </c>
      <c r="AC174" s="26">
        <v>1.1566682143050271</v>
      </c>
      <c r="AD174" s="26">
        <v>-16.897103540843716</v>
      </c>
      <c r="AE174" s="57">
        <v>0.90198178148023589</v>
      </c>
    </row>
    <row r="175" spans="1:31" ht="15" thickBot="1" x14ac:dyDescent="0.35">
      <c r="A175" s="47">
        <v>33126</v>
      </c>
      <c r="B175" s="80" t="s">
        <v>69</v>
      </c>
      <c r="C175" s="32" t="s">
        <v>35</v>
      </c>
      <c r="D175" s="32" t="s">
        <v>36</v>
      </c>
      <c r="E175" s="32" t="s">
        <v>38</v>
      </c>
      <c r="F175" s="51">
        <v>2</v>
      </c>
      <c r="G175" s="39">
        <v>297.39999999999998</v>
      </c>
      <c r="H175" s="33">
        <v>211</v>
      </c>
      <c r="I175" s="58">
        <v>140.94786729857819</v>
      </c>
      <c r="J175" s="41">
        <v>3.63</v>
      </c>
      <c r="K175" s="40">
        <v>3.31</v>
      </c>
      <c r="L175" s="40">
        <v>67.551020408163268</v>
      </c>
      <c r="M175" s="42">
        <v>20.399999999999999</v>
      </c>
      <c r="N175" s="42">
        <v>197.32843359999995</v>
      </c>
      <c r="O175" s="64">
        <v>11.275910491428569</v>
      </c>
      <c r="P175" s="42">
        <v>190.13140000000001</v>
      </c>
      <c r="Q175" s="42">
        <v>14.270200000000001</v>
      </c>
      <c r="R175" s="42">
        <v>104.25398723999999</v>
      </c>
      <c r="S175" s="42">
        <v>55.170332480818409</v>
      </c>
      <c r="T175" s="43">
        <v>2.1571599999999997</v>
      </c>
      <c r="U175" s="42">
        <v>103.30929999999999</v>
      </c>
      <c r="V175" s="33">
        <v>2</v>
      </c>
      <c r="W175" s="42">
        <v>56.8</v>
      </c>
      <c r="X175" s="42">
        <v>47.2</v>
      </c>
      <c r="Y175" s="44">
        <v>4.6748971193415638</v>
      </c>
      <c r="Z175" s="44">
        <v>2.3552894211576847</v>
      </c>
      <c r="AA175" s="42">
        <v>129.75153942948091</v>
      </c>
      <c r="AB175" s="42">
        <v>118.52418723999999</v>
      </c>
      <c r="AC175" s="40">
        <v>1.0947262533574402</v>
      </c>
      <c r="AD175" s="40">
        <v>-11.227352189480925</v>
      </c>
      <c r="AE175" s="58">
        <v>0.9448374022056778</v>
      </c>
    </row>
    <row r="176" spans="1:31" ht="15" thickTop="1" x14ac:dyDescent="0.3">
      <c r="A176" s="47">
        <v>33126</v>
      </c>
      <c r="B176" s="80" t="s">
        <v>69</v>
      </c>
      <c r="C176" s="3" t="s">
        <v>35</v>
      </c>
      <c r="D176" s="3" t="s">
        <v>39</v>
      </c>
      <c r="E176" s="3" t="s">
        <v>37</v>
      </c>
      <c r="F176" s="49">
        <v>3</v>
      </c>
      <c r="G176" s="14">
        <v>317</v>
      </c>
      <c r="H176" s="2">
        <v>206</v>
      </c>
      <c r="I176" s="55">
        <v>153.88349514563106</v>
      </c>
      <c r="J176" s="15">
        <v>3.66</v>
      </c>
      <c r="K176" s="13">
        <v>3.34</v>
      </c>
      <c r="L176" s="13">
        <v>68.163265306122454</v>
      </c>
      <c r="M176" s="4">
        <v>21.6</v>
      </c>
      <c r="N176" s="4">
        <v>210.8003176</v>
      </c>
      <c r="O176" s="61">
        <v>12.045732434285714</v>
      </c>
      <c r="P176" s="4">
        <v>200.8672</v>
      </c>
      <c r="Q176" s="4">
        <v>17.912500000000001</v>
      </c>
      <c r="R176" s="4">
        <v>96.918607499999993</v>
      </c>
      <c r="S176" s="4">
        <v>56.188235294117646</v>
      </c>
      <c r="T176" s="16">
        <v>2.1969600000000002</v>
      </c>
      <c r="U176" s="4">
        <v>95.732799999999997</v>
      </c>
      <c r="V176" s="2">
        <v>3</v>
      </c>
      <c r="W176" s="4">
        <v>66.8</v>
      </c>
      <c r="X176" s="4">
        <v>77.599999999999994</v>
      </c>
      <c r="Y176" s="5">
        <v>5.4979423868312756</v>
      </c>
      <c r="Z176" s="5">
        <v>3.8722554890219558</v>
      </c>
      <c r="AA176" s="4">
        <v>133.72169847609334</v>
      </c>
      <c r="AB176" s="4">
        <v>114.8311075</v>
      </c>
      <c r="AC176" s="13">
        <v>1.1645076093696418</v>
      </c>
      <c r="AD176" s="13">
        <v>-18.890590976093335</v>
      </c>
      <c r="AE176" s="55">
        <v>0.8624457325690954</v>
      </c>
    </row>
    <row r="177" spans="1:31" x14ac:dyDescent="0.3">
      <c r="A177" s="47">
        <v>33126</v>
      </c>
      <c r="B177" s="80" t="s">
        <v>69</v>
      </c>
      <c r="C177" s="3" t="s">
        <v>35</v>
      </c>
      <c r="D177" s="3" t="s">
        <v>39</v>
      </c>
      <c r="E177" s="81" t="s">
        <v>38</v>
      </c>
      <c r="F177" s="50">
        <v>4</v>
      </c>
      <c r="G177" s="17">
        <v>320.3</v>
      </c>
      <c r="H177" s="31">
        <v>211</v>
      </c>
      <c r="I177" s="56">
        <v>151.80094786729859</v>
      </c>
      <c r="J177" s="19">
        <v>3.58</v>
      </c>
      <c r="K177" s="85">
        <v>3.62</v>
      </c>
      <c r="L177" s="85">
        <v>73.877551020408163</v>
      </c>
      <c r="M177" s="86">
        <v>20.6</v>
      </c>
      <c r="N177" s="86">
        <v>199.56578059999998</v>
      </c>
      <c r="O177" s="62">
        <v>11.40375889142857</v>
      </c>
      <c r="P177" s="86">
        <v>193.49590000000001</v>
      </c>
      <c r="Q177" s="86">
        <v>20.462</v>
      </c>
      <c r="R177" s="86">
        <v>104.02618439999999</v>
      </c>
      <c r="S177" s="86">
        <v>52.930946291560097</v>
      </c>
      <c r="T177" s="87">
        <v>2.0695999999999999</v>
      </c>
      <c r="U177" s="86">
        <v>102.6716</v>
      </c>
      <c r="V177" s="31">
        <v>4</v>
      </c>
      <c r="W177" s="86">
        <v>62</v>
      </c>
      <c r="X177" s="86">
        <v>50.8</v>
      </c>
      <c r="Y177" s="88">
        <v>5.1028806584362139</v>
      </c>
      <c r="Z177" s="88">
        <v>2.5349301397205588</v>
      </c>
      <c r="AA177" s="86">
        <v>134.44630811012505</v>
      </c>
      <c r="AB177" s="86">
        <v>124.48818439999999</v>
      </c>
      <c r="AC177" s="85">
        <v>1.0799925210422223</v>
      </c>
      <c r="AD177" s="85">
        <v>-9.9581237101250508</v>
      </c>
      <c r="AE177" s="56">
        <v>0.98265940520873596</v>
      </c>
    </row>
    <row r="178" spans="1:31" x14ac:dyDescent="0.3">
      <c r="A178" s="47">
        <v>33070</v>
      </c>
      <c r="B178" s="80" t="s">
        <v>61</v>
      </c>
      <c r="C178" s="3" t="s">
        <v>40</v>
      </c>
      <c r="D178" s="7" t="s">
        <v>41</v>
      </c>
      <c r="E178" s="7" t="s">
        <v>37</v>
      </c>
      <c r="F178" s="50">
        <v>5</v>
      </c>
      <c r="G178" s="17">
        <v>60.05</v>
      </c>
      <c r="H178" s="6">
        <v>100</v>
      </c>
      <c r="I178" s="56">
        <v>60.05</v>
      </c>
      <c r="J178" s="19">
        <v>2.48</v>
      </c>
      <c r="K178" s="18">
        <v>26.68</v>
      </c>
      <c r="L178" s="18">
        <v>544.48979591836735</v>
      </c>
      <c r="M178" s="20">
        <v>4.5</v>
      </c>
      <c r="N178" s="20">
        <v>29.656708749999993</v>
      </c>
      <c r="O178" s="62">
        <v>1.694669071428571</v>
      </c>
      <c r="P178" s="20">
        <v>7.4950000000000001</v>
      </c>
      <c r="Q178" s="20">
        <v>472.5</v>
      </c>
      <c r="R178" s="20">
        <v>158.8912</v>
      </c>
      <c r="S178" s="20">
        <v>25.651150895140663</v>
      </c>
      <c r="T178" s="21">
        <v>1.0029600000000001</v>
      </c>
      <c r="U178" s="20">
        <v>127.6117</v>
      </c>
      <c r="V178" s="6">
        <v>5</v>
      </c>
      <c r="W178" s="20">
        <v>48</v>
      </c>
      <c r="X178" s="20">
        <v>72.400000000000006</v>
      </c>
      <c r="Y178" s="22">
        <v>3.9506172839506171</v>
      </c>
      <c r="Z178" s="22">
        <v>3.6127744510978048</v>
      </c>
      <c r="AA178" s="20">
        <v>577.70433854855639</v>
      </c>
      <c r="AB178" s="20">
        <v>631.39120000000003</v>
      </c>
      <c r="AC178" s="18">
        <v>0.91497052627365782</v>
      </c>
      <c r="AD178" s="18">
        <v>53.686861451443633</v>
      </c>
      <c r="AE178" s="56">
        <v>3.097155380074978</v>
      </c>
    </row>
    <row r="179" spans="1:31" x14ac:dyDescent="0.3">
      <c r="A179" s="47">
        <v>33070</v>
      </c>
      <c r="B179" s="80" t="s">
        <v>61</v>
      </c>
      <c r="C179" s="3" t="s">
        <v>40</v>
      </c>
      <c r="D179" s="7" t="s">
        <v>41</v>
      </c>
      <c r="E179" s="23" t="s">
        <v>38</v>
      </c>
      <c r="F179" s="52">
        <v>6</v>
      </c>
      <c r="G179" s="25">
        <v>65.42</v>
      </c>
      <c r="H179" s="24">
        <v>100</v>
      </c>
      <c r="I179" s="57">
        <v>65.42</v>
      </c>
      <c r="J179" s="27">
        <v>2.58</v>
      </c>
      <c r="K179" s="26">
        <v>22.66</v>
      </c>
      <c r="L179" s="26">
        <v>462.44897959183675</v>
      </c>
      <c r="M179" s="28">
        <v>3.8</v>
      </c>
      <c r="N179" s="28">
        <v>22.737817399999997</v>
      </c>
      <c r="O179" s="63">
        <v>1.2993038514285713</v>
      </c>
      <c r="P179" s="28">
        <v>4.2</v>
      </c>
      <c r="Q179" s="28">
        <v>369.85</v>
      </c>
      <c r="R179" s="28">
        <v>168.00256999999999</v>
      </c>
      <c r="S179" s="28">
        <v>28.908439897698209</v>
      </c>
      <c r="T179" s="29">
        <v>1.13032</v>
      </c>
      <c r="U179" s="28">
        <v>143.51849999999999</v>
      </c>
      <c r="V179" s="24">
        <v>6</v>
      </c>
      <c r="W179" s="28">
        <v>43.2</v>
      </c>
      <c r="X179" s="28">
        <v>71.2</v>
      </c>
      <c r="Y179" s="30">
        <v>3.5555555555555558</v>
      </c>
      <c r="Z179" s="30">
        <v>3.5528942115768465</v>
      </c>
      <c r="AA179" s="28">
        <v>498.46586925666736</v>
      </c>
      <c r="AB179" s="28">
        <v>537.85257000000001</v>
      </c>
      <c r="AC179" s="26">
        <v>0.92677045171814898</v>
      </c>
      <c r="AD179" s="26">
        <v>39.386700743332653</v>
      </c>
      <c r="AE179" s="57">
        <v>2.9057702628459197</v>
      </c>
    </row>
    <row r="180" spans="1:31" x14ac:dyDescent="0.3">
      <c r="A180" s="47">
        <v>33070</v>
      </c>
      <c r="B180" s="80" t="s">
        <v>61</v>
      </c>
      <c r="C180" s="7" t="s">
        <v>40</v>
      </c>
      <c r="D180" s="7" t="s">
        <v>42</v>
      </c>
      <c r="E180" s="7" t="s">
        <v>37</v>
      </c>
      <c r="F180" s="50">
        <v>7</v>
      </c>
      <c r="G180" s="17">
        <v>72.66</v>
      </c>
      <c r="H180" s="6">
        <v>100</v>
      </c>
      <c r="I180" s="56">
        <v>72.66</v>
      </c>
      <c r="J180" s="19">
        <v>2.56</v>
      </c>
      <c r="K180" s="18">
        <v>25.5</v>
      </c>
      <c r="L180" s="18">
        <v>520.40816326530614</v>
      </c>
      <c r="M180" s="20">
        <v>4.3</v>
      </c>
      <c r="N180" s="20">
        <v>27.675899149999999</v>
      </c>
      <c r="O180" s="62">
        <v>1.5814799514285713</v>
      </c>
      <c r="P180" s="20">
        <v>7.09</v>
      </c>
      <c r="Q180" s="20">
        <v>450.65</v>
      </c>
      <c r="R180" s="20">
        <v>159.77753000000001</v>
      </c>
      <c r="S180" s="20">
        <v>29.315601023017901</v>
      </c>
      <c r="T180" s="21">
        <v>1.1462399999999999</v>
      </c>
      <c r="U180" s="20">
        <v>129.94450000000001</v>
      </c>
      <c r="V180" s="6">
        <v>7</v>
      </c>
      <c r="W180" s="20">
        <v>41.6</v>
      </c>
      <c r="X180" s="20">
        <v>68.400000000000006</v>
      </c>
      <c r="Y180" s="22">
        <v>3.4238683127572016</v>
      </c>
      <c r="Z180" s="22">
        <v>3.4131736526946113</v>
      </c>
      <c r="AA180" s="20">
        <v>556.56080625377581</v>
      </c>
      <c r="AB180" s="20">
        <v>610.42752999999993</v>
      </c>
      <c r="AC180" s="18">
        <v>0.91175574314902852</v>
      </c>
      <c r="AD180" s="18">
        <v>53.866723746224125</v>
      </c>
      <c r="AE180" s="56">
        <v>2.725127993701145</v>
      </c>
    </row>
    <row r="181" spans="1:31" x14ac:dyDescent="0.3">
      <c r="A181" s="47">
        <v>33070</v>
      </c>
      <c r="B181" s="80" t="s">
        <v>61</v>
      </c>
      <c r="C181" s="7" t="s">
        <v>40</v>
      </c>
      <c r="D181" s="7" t="s">
        <v>42</v>
      </c>
      <c r="E181" s="81" t="s">
        <v>38</v>
      </c>
      <c r="F181" s="50">
        <v>8</v>
      </c>
      <c r="G181" s="17">
        <v>62.2</v>
      </c>
      <c r="H181" s="31">
        <v>101</v>
      </c>
      <c r="I181" s="56">
        <v>61.584158415841586</v>
      </c>
      <c r="J181" s="19">
        <v>2.61</v>
      </c>
      <c r="K181" s="85">
        <v>22.27</v>
      </c>
      <c r="L181" s="85">
        <v>454.48979591836735</v>
      </c>
      <c r="M181" s="86">
        <v>3.7</v>
      </c>
      <c r="N181" s="86">
        <v>21.752591149999994</v>
      </c>
      <c r="O181" s="62">
        <v>1.2430052085714283</v>
      </c>
      <c r="P181" s="86">
        <v>4.12</v>
      </c>
      <c r="Q181" s="86">
        <v>362.6</v>
      </c>
      <c r="R181" s="86">
        <v>170.53852000000001</v>
      </c>
      <c r="S181" s="86">
        <v>30.740664961636828</v>
      </c>
      <c r="T181" s="87">
        <v>1.2019600000000001</v>
      </c>
      <c r="U181" s="86">
        <v>146.53440000000001</v>
      </c>
      <c r="V181" s="31">
        <v>8</v>
      </c>
      <c r="W181" s="86">
        <v>49.6</v>
      </c>
      <c r="X181" s="86">
        <v>80.8</v>
      </c>
      <c r="Y181" s="88">
        <v>4.0823045267489713</v>
      </c>
      <c r="Z181" s="88">
        <v>4.0319361277445109</v>
      </c>
      <c r="AA181" s="86">
        <v>493.34470153449769</v>
      </c>
      <c r="AB181" s="86">
        <v>533.13851999999997</v>
      </c>
      <c r="AC181" s="85">
        <v>0.92535932600498971</v>
      </c>
      <c r="AD181" s="85">
        <v>39.793818465502284</v>
      </c>
      <c r="AE181" s="56">
        <v>2.773826138973011</v>
      </c>
    </row>
    <row r="182" spans="1:31" x14ac:dyDescent="0.3">
      <c r="A182" s="47">
        <v>33077</v>
      </c>
      <c r="B182" s="80" t="s">
        <v>62</v>
      </c>
      <c r="C182" s="7" t="s">
        <v>40</v>
      </c>
      <c r="D182" s="7" t="s">
        <v>41</v>
      </c>
      <c r="E182" s="7" t="s">
        <v>37</v>
      </c>
      <c r="F182" s="50">
        <v>5</v>
      </c>
      <c r="G182" s="17">
        <v>70.650000000000006</v>
      </c>
      <c r="H182" s="6">
        <v>108</v>
      </c>
      <c r="I182" s="56">
        <v>65.416666666666671</v>
      </c>
      <c r="J182" s="19">
        <v>2.56</v>
      </c>
      <c r="K182" s="18">
        <v>23.42</v>
      </c>
      <c r="L182" s="18">
        <v>477.9591836734694</v>
      </c>
      <c r="M182" s="20">
        <v>4.8</v>
      </c>
      <c r="N182" s="20">
        <v>32.6338984</v>
      </c>
      <c r="O182" s="62">
        <v>1.8647941942857142</v>
      </c>
      <c r="P182" s="20">
        <v>11.6175</v>
      </c>
      <c r="Q182" s="20">
        <v>401.5</v>
      </c>
      <c r="R182" s="20">
        <v>143.5196</v>
      </c>
      <c r="S182" s="20">
        <v>28.501278772378512</v>
      </c>
      <c r="T182" s="21">
        <v>1.1143999999999998</v>
      </c>
      <c r="U182" s="20">
        <v>116.94029999999999</v>
      </c>
      <c r="V182" s="6">
        <v>5</v>
      </c>
      <c r="W182" s="20">
        <v>50.8</v>
      </c>
      <c r="X182" s="20">
        <v>103.6</v>
      </c>
      <c r="Y182" s="22">
        <v>4.1810699588477362</v>
      </c>
      <c r="Z182" s="22">
        <v>5.1696606786427148</v>
      </c>
      <c r="AA182" s="20">
        <v>515.81119308333837</v>
      </c>
      <c r="AB182" s="20">
        <v>545.01959999999997</v>
      </c>
      <c r="AC182" s="18">
        <v>0.94640852014008015</v>
      </c>
      <c r="AD182" s="18">
        <v>29.208406916661602</v>
      </c>
      <c r="AE182" s="56">
        <v>2.5177747487437188</v>
      </c>
    </row>
    <row r="183" spans="1:31" x14ac:dyDescent="0.3">
      <c r="A183" s="47">
        <v>33077</v>
      </c>
      <c r="B183" s="80" t="s">
        <v>62</v>
      </c>
      <c r="C183" s="7" t="s">
        <v>40</v>
      </c>
      <c r="D183" s="7" t="s">
        <v>41</v>
      </c>
      <c r="E183" s="7" t="s">
        <v>38</v>
      </c>
      <c r="F183" s="50">
        <v>6</v>
      </c>
      <c r="G183" s="17">
        <v>68.89</v>
      </c>
      <c r="H183" s="6">
        <v>100</v>
      </c>
      <c r="I183" s="56">
        <v>68.89</v>
      </c>
      <c r="J183" s="19">
        <v>2.64</v>
      </c>
      <c r="K183" s="18">
        <v>21.8</v>
      </c>
      <c r="L183" s="18">
        <v>444.89795918367349</v>
      </c>
      <c r="M183" s="20">
        <v>3.8</v>
      </c>
      <c r="N183" s="20">
        <v>22.737817399999997</v>
      </c>
      <c r="O183" s="62">
        <v>1.2993038514285713</v>
      </c>
      <c r="P183" s="20">
        <v>5.1375000000000002</v>
      </c>
      <c r="Q183" s="20">
        <v>350.75</v>
      </c>
      <c r="R183" s="20">
        <v>159.61635000000001</v>
      </c>
      <c r="S183" s="20">
        <v>34.201534526854218</v>
      </c>
      <c r="T183" s="21">
        <v>1.33728</v>
      </c>
      <c r="U183" s="20">
        <v>136.39670000000001</v>
      </c>
      <c r="V183" s="6">
        <v>6</v>
      </c>
      <c r="W183" s="20">
        <v>50.4</v>
      </c>
      <c r="X183" s="20">
        <v>129.19999999999999</v>
      </c>
      <c r="Y183" s="22">
        <v>4.1481481481481479</v>
      </c>
      <c r="Z183" s="22">
        <v>6.4471057884231531</v>
      </c>
      <c r="AA183" s="20">
        <v>489.69474764709901</v>
      </c>
      <c r="AB183" s="20">
        <v>510.36635000000001</v>
      </c>
      <c r="AC183" s="18">
        <v>0.95949654135132345</v>
      </c>
      <c r="AD183" s="18">
        <v>20.671602352901004</v>
      </c>
      <c r="AE183" s="56">
        <v>2.3334676675789665</v>
      </c>
    </row>
    <row r="184" spans="1:31" x14ac:dyDescent="0.3">
      <c r="A184" s="47">
        <v>33077</v>
      </c>
      <c r="B184" s="80" t="s">
        <v>62</v>
      </c>
      <c r="C184" s="7" t="s">
        <v>40</v>
      </c>
      <c r="D184" s="7" t="s">
        <v>42</v>
      </c>
      <c r="E184" s="7" t="s">
        <v>37</v>
      </c>
      <c r="F184" s="50">
        <v>7</v>
      </c>
      <c r="G184" s="17">
        <v>82.65</v>
      </c>
      <c r="H184" s="6">
        <v>103</v>
      </c>
      <c r="I184" s="56">
        <v>80.242718446601941</v>
      </c>
      <c r="J184" s="19">
        <v>2.61</v>
      </c>
      <c r="K184" s="18">
        <v>23.83</v>
      </c>
      <c r="L184" s="18">
        <v>486.32653061224482</v>
      </c>
      <c r="M184" s="20">
        <v>4.5999999999999996</v>
      </c>
      <c r="N184" s="20">
        <v>30.648308599999993</v>
      </c>
      <c r="O184" s="62">
        <v>1.7513319199999995</v>
      </c>
      <c r="P184" s="20">
        <v>10.1425</v>
      </c>
      <c r="Q184" s="20">
        <v>412.85</v>
      </c>
      <c r="R184" s="20">
        <v>147.10846999999998</v>
      </c>
      <c r="S184" s="20">
        <v>32.776470588235298</v>
      </c>
      <c r="T184" s="21">
        <v>1.2815600000000003</v>
      </c>
      <c r="U184" s="20">
        <v>119.7778</v>
      </c>
      <c r="V184" s="6">
        <v>7</v>
      </c>
      <c r="W184" s="20">
        <v>47.2</v>
      </c>
      <c r="X184" s="20">
        <v>106.8</v>
      </c>
      <c r="Y184" s="22">
        <v>3.88477366255144</v>
      </c>
      <c r="Z184" s="22">
        <v>5.3293413173652695</v>
      </c>
      <c r="AA184" s="20">
        <v>528.31711618039674</v>
      </c>
      <c r="AB184" s="20">
        <v>559.95846999999992</v>
      </c>
      <c r="AC184" s="18">
        <v>0.94349339189457537</v>
      </c>
      <c r="AD184" s="18">
        <v>31.641353819603182</v>
      </c>
      <c r="AE184" s="56">
        <v>2.2441170046661876</v>
      </c>
    </row>
    <row r="185" spans="1:31" x14ac:dyDescent="0.3">
      <c r="A185" s="47">
        <v>33077</v>
      </c>
      <c r="B185" s="80" t="s">
        <v>62</v>
      </c>
      <c r="C185" s="7" t="s">
        <v>40</v>
      </c>
      <c r="D185" s="7" t="s">
        <v>42</v>
      </c>
      <c r="E185" s="81" t="s">
        <v>38</v>
      </c>
      <c r="F185" s="50">
        <v>8</v>
      </c>
      <c r="G185" s="17">
        <v>67.61</v>
      </c>
      <c r="H185" s="31">
        <v>100</v>
      </c>
      <c r="I185" s="56">
        <v>67.61</v>
      </c>
      <c r="J185" s="19">
        <v>2.65</v>
      </c>
      <c r="K185" s="85">
        <v>22.12</v>
      </c>
      <c r="L185" s="85">
        <v>451.42857142857144</v>
      </c>
      <c r="M185" s="86">
        <v>4</v>
      </c>
      <c r="N185" s="86">
        <v>24.710659999999997</v>
      </c>
      <c r="O185" s="62">
        <v>1.4120377142857141</v>
      </c>
      <c r="P185" s="86">
        <v>5.0374999999999996</v>
      </c>
      <c r="Q185" s="86">
        <v>353.85</v>
      </c>
      <c r="R185" s="86">
        <v>163.85117</v>
      </c>
      <c r="S185" s="86">
        <v>34.405115089514062</v>
      </c>
      <c r="T185" s="87">
        <v>1.34524</v>
      </c>
      <c r="U185" s="86">
        <v>140.4263</v>
      </c>
      <c r="V185" s="31">
        <v>8</v>
      </c>
      <c r="W185" s="86">
        <v>50.4</v>
      </c>
      <c r="X185" s="86">
        <v>108</v>
      </c>
      <c r="Y185" s="88">
        <v>4.1481481481481479</v>
      </c>
      <c r="Z185" s="88">
        <v>5.3892215568862278</v>
      </c>
      <c r="AA185" s="86">
        <v>495.37105622311992</v>
      </c>
      <c r="AB185" s="86">
        <v>517.70116999999993</v>
      </c>
      <c r="AC185" s="85">
        <v>0.95686678904573463</v>
      </c>
      <c r="AD185" s="85">
        <v>22.330113776880012</v>
      </c>
      <c r="AE185" s="56">
        <v>2.3812036316939729</v>
      </c>
    </row>
    <row r="186" spans="1:31" x14ac:dyDescent="0.3">
      <c r="A186" s="47">
        <v>33084</v>
      </c>
      <c r="B186" s="80" t="s">
        <v>63</v>
      </c>
      <c r="C186" s="7" t="s">
        <v>40</v>
      </c>
      <c r="D186" s="7" t="s">
        <v>41</v>
      </c>
      <c r="E186" s="7" t="s">
        <v>37</v>
      </c>
      <c r="F186" s="50">
        <v>5</v>
      </c>
      <c r="G186" s="17">
        <v>70.42</v>
      </c>
      <c r="H186" s="6">
        <v>100</v>
      </c>
      <c r="I186" s="56">
        <v>70.42</v>
      </c>
      <c r="J186" s="19">
        <v>2.56</v>
      </c>
      <c r="K186" s="18">
        <v>22.25</v>
      </c>
      <c r="L186" s="18">
        <v>454.08163265306121</v>
      </c>
      <c r="M186" s="20">
        <v>5.0999999999999996</v>
      </c>
      <c r="N186" s="20">
        <v>35.618258349999991</v>
      </c>
      <c r="O186" s="62">
        <v>2.0353290485714282</v>
      </c>
      <c r="P186" s="20">
        <v>17.012499999999999</v>
      </c>
      <c r="Q186" s="20">
        <v>382.6</v>
      </c>
      <c r="R186" s="20">
        <v>140.41942</v>
      </c>
      <c r="S186" s="20">
        <v>29.51918158567775</v>
      </c>
      <c r="T186" s="21">
        <v>1.1542000000000001</v>
      </c>
      <c r="U186" s="20">
        <v>115.0913</v>
      </c>
      <c r="V186" s="6">
        <v>5</v>
      </c>
      <c r="W186" s="20">
        <v>48</v>
      </c>
      <c r="X186" s="20">
        <v>122</v>
      </c>
      <c r="Y186" s="22">
        <v>3.9506172839506171</v>
      </c>
      <c r="Z186" s="22">
        <v>6.0878243512974057</v>
      </c>
      <c r="AA186" s="20">
        <v>493.639255873987</v>
      </c>
      <c r="AB186" s="20">
        <v>523.01941999999997</v>
      </c>
      <c r="AC186" s="18">
        <v>0.9438258638158924</v>
      </c>
      <c r="AD186" s="18">
        <v>29.380164126012971</v>
      </c>
      <c r="AE186" s="56">
        <v>2.3784436501472883</v>
      </c>
    </row>
    <row r="187" spans="1:31" x14ac:dyDescent="0.3">
      <c r="A187" s="47">
        <v>33084</v>
      </c>
      <c r="B187" s="80" t="s">
        <v>63</v>
      </c>
      <c r="C187" s="7" t="s">
        <v>40</v>
      </c>
      <c r="D187" s="7" t="s">
        <v>41</v>
      </c>
      <c r="E187" s="7" t="s">
        <v>38</v>
      </c>
      <c r="F187" s="50">
        <v>6</v>
      </c>
      <c r="G187" s="17">
        <v>72.900000000000006</v>
      </c>
      <c r="H187" s="6">
        <v>101</v>
      </c>
      <c r="I187" s="56">
        <v>72.178217821782184</v>
      </c>
      <c r="J187" s="19">
        <v>2.61</v>
      </c>
      <c r="K187" s="18">
        <v>22.15</v>
      </c>
      <c r="L187" s="18">
        <v>452.0408163265306</v>
      </c>
      <c r="M187" s="20">
        <v>4.0999999999999996</v>
      </c>
      <c r="N187" s="20">
        <v>25.698276349999993</v>
      </c>
      <c r="O187" s="62">
        <v>1.4684729342857139</v>
      </c>
      <c r="P187" s="20">
        <v>6.82</v>
      </c>
      <c r="Q187" s="20">
        <v>363.25</v>
      </c>
      <c r="R187" s="20">
        <v>155.20394999999999</v>
      </c>
      <c r="S187" s="20">
        <v>35.015856777493603</v>
      </c>
      <c r="T187" s="21">
        <v>1.3691199999999999</v>
      </c>
      <c r="U187" s="20">
        <v>131.1568</v>
      </c>
      <c r="V187" s="6">
        <v>6</v>
      </c>
      <c r="W187" s="20">
        <v>42</v>
      </c>
      <c r="X187" s="20">
        <v>105.6</v>
      </c>
      <c r="Y187" s="22">
        <v>3.4567901234567899</v>
      </c>
      <c r="Z187" s="22">
        <v>5.2694610778443121</v>
      </c>
      <c r="AA187" s="20">
        <v>495.78292430532531</v>
      </c>
      <c r="AB187" s="20">
        <v>518.45394999999996</v>
      </c>
      <c r="AC187" s="18">
        <v>0.95627186234249995</v>
      </c>
      <c r="AD187" s="18">
        <v>22.671025694674654</v>
      </c>
      <c r="AE187" s="56">
        <v>2.216195236721398</v>
      </c>
    </row>
    <row r="188" spans="1:31" x14ac:dyDescent="0.3">
      <c r="A188" s="47">
        <v>33084</v>
      </c>
      <c r="B188" s="80" t="s">
        <v>63</v>
      </c>
      <c r="C188" s="7" t="s">
        <v>40</v>
      </c>
      <c r="D188" s="7" t="s">
        <v>42</v>
      </c>
      <c r="E188" s="23" t="s">
        <v>37</v>
      </c>
      <c r="F188" s="52">
        <v>7</v>
      </c>
      <c r="G188" s="25">
        <v>87.74</v>
      </c>
      <c r="H188" s="24">
        <v>106</v>
      </c>
      <c r="I188" s="57">
        <v>82.773584905660371</v>
      </c>
      <c r="J188" s="27">
        <v>2.61</v>
      </c>
      <c r="K188" s="26">
        <v>23.34</v>
      </c>
      <c r="L188" s="26">
        <v>476.32653061224488</v>
      </c>
      <c r="M188" s="28">
        <v>5.0999999999999996</v>
      </c>
      <c r="N188" s="28">
        <v>35.618258349999991</v>
      </c>
      <c r="O188" s="63">
        <v>2.0353290485714282</v>
      </c>
      <c r="P188" s="28">
        <v>15.1</v>
      </c>
      <c r="Q188" s="28">
        <v>413.5</v>
      </c>
      <c r="R188" s="28">
        <v>139.93129999999999</v>
      </c>
      <c r="S188" s="28">
        <v>35.626598465473144</v>
      </c>
      <c r="T188" s="29">
        <v>1.393</v>
      </c>
      <c r="U188" s="28">
        <v>112.55759999999999</v>
      </c>
      <c r="V188" s="24">
        <v>7</v>
      </c>
      <c r="W188" s="28">
        <v>42.4</v>
      </c>
      <c r="X188" s="28">
        <v>122.8</v>
      </c>
      <c r="Y188" s="30">
        <v>3.4897119341563791</v>
      </c>
      <c r="Z188" s="30">
        <v>6.1277445109780437</v>
      </c>
      <c r="AA188" s="28">
        <v>521.57058552285241</v>
      </c>
      <c r="AB188" s="28">
        <v>553.43129999999996</v>
      </c>
      <c r="AC188" s="26">
        <v>0.94243058808356606</v>
      </c>
      <c r="AD188" s="26">
        <v>31.860714477147553</v>
      </c>
      <c r="AE188" s="57">
        <v>1.9638599533381191</v>
      </c>
    </row>
    <row r="189" spans="1:31" x14ac:dyDescent="0.3">
      <c r="A189" s="47">
        <v>33084</v>
      </c>
      <c r="B189" s="80" t="s">
        <v>63</v>
      </c>
      <c r="C189" s="7" t="s">
        <v>40</v>
      </c>
      <c r="D189" s="7" t="s">
        <v>42</v>
      </c>
      <c r="E189" s="81" t="s">
        <v>38</v>
      </c>
      <c r="F189" s="50">
        <v>8</v>
      </c>
      <c r="G189" s="17">
        <v>67.86</v>
      </c>
      <c r="H189" s="31">
        <v>102</v>
      </c>
      <c r="I189" s="56">
        <v>66.529411764705884</v>
      </c>
      <c r="J189" s="19">
        <v>2.65</v>
      </c>
      <c r="K189" s="85">
        <v>21.67</v>
      </c>
      <c r="L189" s="85">
        <v>442.24489795918367</v>
      </c>
      <c r="M189" s="86">
        <v>3.9</v>
      </c>
      <c r="N189" s="86">
        <v>23.723840349999996</v>
      </c>
      <c r="O189" s="62">
        <v>1.3556480199999998</v>
      </c>
      <c r="P189" s="86">
        <v>5.3724999999999996</v>
      </c>
      <c r="Q189" s="86">
        <v>351.15</v>
      </c>
      <c r="R189" s="86">
        <v>157.53653</v>
      </c>
      <c r="S189" s="86">
        <v>35.626598465473144</v>
      </c>
      <c r="T189" s="87">
        <v>1.393</v>
      </c>
      <c r="U189" s="86">
        <v>134.29040000000001</v>
      </c>
      <c r="V189" s="31">
        <v>8</v>
      </c>
      <c r="W189" s="86">
        <v>42.8</v>
      </c>
      <c r="X189" s="86">
        <v>121.2</v>
      </c>
      <c r="Y189" s="88">
        <v>3.5226337448559675</v>
      </c>
      <c r="Z189" s="88">
        <v>6.047904191616766</v>
      </c>
      <c r="AA189" s="86">
        <v>487.44203436112957</v>
      </c>
      <c r="AB189" s="86">
        <v>508.68653000000006</v>
      </c>
      <c r="AC189" s="85">
        <v>0.95823656734360452</v>
      </c>
      <c r="AD189" s="85">
        <v>21.24449563887049</v>
      </c>
      <c r="AE189" s="56">
        <v>2.2109398144292896</v>
      </c>
    </row>
    <row r="190" spans="1:31" x14ac:dyDescent="0.3">
      <c r="A190" s="47">
        <v>33091</v>
      </c>
      <c r="B190" s="80" t="s">
        <v>64</v>
      </c>
      <c r="C190" s="23" t="s">
        <v>40</v>
      </c>
      <c r="D190" s="23" t="s">
        <v>41</v>
      </c>
      <c r="E190" s="23" t="s">
        <v>37</v>
      </c>
      <c r="F190" s="52">
        <v>5</v>
      </c>
      <c r="G190" s="25">
        <v>79.790000000000006</v>
      </c>
      <c r="H190" s="24">
        <v>100</v>
      </c>
      <c r="I190" s="57">
        <v>79.790000000000006</v>
      </c>
      <c r="J190" s="27">
        <v>2.66</v>
      </c>
      <c r="K190" s="26">
        <v>18.829999999999998</v>
      </c>
      <c r="L190" s="26">
        <v>384.28571428571422</v>
      </c>
      <c r="M190" s="28">
        <v>6.9</v>
      </c>
      <c r="N190" s="28">
        <v>53.674994349999999</v>
      </c>
      <c r="O190" s="63">
        <v>3.0671425342857144</v>
      </c>
      <c r="P190" s="28">
        <v>43.528500000000001</v>
      </c>
      <c r="Q190" s="28">
        <v>315.25</v>
      </c>
      <c r="R190" s="28">
        <v>131.62334999999999</v>
      </c>
      <c r="S190" s="28">
        <v>31.758567774936061</v>
      </c>
      <c r="T190" s="29">
        <v>1.24176</v>
      </c>
      <c r="U190" s="28">
        <v>110.7538</v>
      </c>
      <c r="V190" s="24">
        <v>5</v>
      </c>
      <c r="W190" s="28">
        <v>39.200000000000003</v>
      </c>
      <c r="X190" s="28">
        <v>78.8</v>
      </c>
      <c r="Y190" s="30">
        <v>3.2263374485596708</v>
      </c>
      <c r="Z190" s="30">
        <v>3.9321357285429142</v>
      </c>
      <c r="AA190" s="28">
        <v>423.20275523775285</v>
      </c>
      <c r="AB190" s="28">
        <v>446.87334999999996</v>
      </c>
      <c r="AC190" s="26">
        <v>0.94703064131650028</v>
      </c>
      <c r="AD190" s="26">
        <v>23.670594762247106</v>
      </c>
      <c r="AE190" s="57">
        <v>2.0722494624565133</v>
      </c>
    </row>
    <row r="191" spans="1:31" ht="15" thickBot="1" x14ac:dyDescent="0.35">
      <c r="A191" s="47">
        <v>33091</v>
      </c>
      <c r="B191" s="80" t="s">
        <v>64</v>
      </c>
      <c r="C191" s="32" t="s">
        <v>40</v>
      </c>
      <c r="D191" s="32" t="s">
        <v>41</v>
      </c>
      <c r="E191" s="32" t="s">
        <v>38</v>
      </c>
      <c r="F191" s="51">
        <v>6</v>
      </c>
      <c r="G191" s="39">
        <v>79.5</v>
      </c>
      <c r="H191" s="33">
        <v>100</v>
      </c>
      <c r="I191" s="58">
        <v>79.5</v>
      </c>
      <c r="J191" s="41">
        <v>2.66</v>
      </c>
      <c r="K191" s="40">
        <v>20.98</v>
      </c>
      <c r="L191" s="40">
        <v>428.16326530612247</v>
      </c>
      <c r="M191" s="42">
        <v>6.3</v>
      </c>
      <c r="N191" s="42">
        <v>47.627401149999997</v>
      </c>
      <c r="O191" s="64">
        <v>2.7215657799999997</v>
      </c>
      <c r="P191" s="42">
        <v>33.019399999999997</v>
      </c>
      <c r="Q191" s="42">
        <v>352.75</v>
      </c>
      <c r="R191" s="42">
        <v>151.78455</v>
      </c>
      <c r="S191" s="42">
        <v>38.47672634271099</v>
      </c>
      <c r="T191" s="43">
        <v>1.5044399999999998</v>
      </c>
      <c r="U191" s="42">
        <v>128.4325</v>
      </c>
      <c r="V191" s="33">
        <v>6</v>
      </c>
      <c r="W191" s="42">
        <v>35.6</v>
      </c>
      <c r="X191" s="42">
        <v>71.599999999999994</v>
      </c>
      <c r="Y191" s="44">
        <v>2.9300411522633745</v>
      </c>
      <c r="Z191" s="44">
        <v>3.5728542914171655</v>
      </c>
      <c r="AA191" s="42">
        <v>473.142887092514</v>
      </c>
      <c r="AB191" s="42">
        <v>504.53454999999997</v>
      </c>
      <c r="AC191" s="40">
        <v>0.93778094501657816</v>
      </c>
      <c r="AD191" s="40">
        <v>31.391662907485966</v>
      </c>
      <c r="AE191" s="58">
        <v>1.9724202709978467</v>
      </c>
    </row>
    <row r="192" spans="1:31" ht="15" thickTop="1" x14ac:dyDescent="0.3">
      <c r="A192" s="47">
        <v>33091</v>
      </c>
      <c r="B192" s="80" t="s">
        <v>64</v>
      </c>
      <c r="C192" s="3" t="s">
        <v>40</v>
      </c>
      <c r="D192" s="3" t="s">
        <v>42</v>
      </c>
      <c r="E192" s="3" t="s">
        <v>37</v>
      </c>
      <c r="F192" s="49">
        <v>7</v>
      </c>
      <c r="G192" s="14">
        <v>99.41</v>
      </c>
      <c r="H192" s="2">
        <v>103</v>
      </c>
      <c r="I192" s="55">
        <v>96.514563106796118</v>
      </c>
      <c r="J192" s="15">
        <v>2.76</v>
      </c>
      <c r="K192" s="13">
        <v>17.920000000000002</v>
      </c>
      <c r="L192" s="13">
        <v>365.71428571428578</v>
      </c>
      <c r="M192" s="4">
        <v>8.1999999999999993</v>
      </c>
      <c r="N192" s="4">
        <v>66.876505399999999</v>
      </c>
      <c r="O192" s="61">
        <v>3.8215145942857141</v>
      </c>
      <c r="P192" s="4">
        <v>58.424999999999997</v>
      </c>
      <c r="Q192" s="4">
        <v>307.3</v>
      </c>
      <c r="R192" s="4">
        <v>126.91316</v>
      </c>
      <c r="S192" s="4">
        <v>40.512531969309464</v>
      </c>
      <c r="T192" s="16">
        <v>1.5840399999999999</v>
      </c>
      <c r="U192" s="4">
        <v>106.5699</v>
      </c>
      <c r="V192" s="2">
        <v>7</v>
      </c>
      <c r="W192" s="4">
        <v>38</v>
      </c>
      <c r="X192" s="4">
        <v>66.8</v>
      </c>
      <c r="Y192" s="5">
        <v>3.1275720164609053</v>
      </c>
      <c r="Z192" s="5">
        <v>3.3333333333333335</v>
      </c>
      <c r="AA192" s="4">
        <v>412.68772303338949</v>
      </c>
      <c r="AB192" s="4">
        <v>434.21316000000002</v>
      </c>
      <c r="AC192" s="13">
        <v>0.95042656706533135</v>
      </c>
      <c r="AD192" s="13">
        <v>21.525436966610528</v>
      </c>
      <c r="AE192" s="55">
        <v>1.5663444597358653</v>
      </c>
    </row>
    <row r="193" spans="1:31" x14ac:dyDescent="0.3">
      <c r="A193" s="47">
        <v>33091</v>
      </c>
      <c r="B193" s="80" t="s">
        <v>64</v>
      </c>
      <c r="C193" s="3" t="s">
        <v>40</v>
      </c>
      <c r="D193" s="3" t="s">
        <v>42</v>
      </c>
      <c r="E193" s="81" t="s">
        <v>38</v>
      </c>
      <c r="F193" s="50">
        <v>8</v>
      </c>
      <c r="G193" s="17">
        <v>79.08</v>
      </c>
      <c r="H193" s="31">
        <v>101</v>
      </c>
      <c r="I193" s="56">
        <v>78.297029702970306</v>
      </c>
      <c r="J193" s="19">
        <v>2.69</v>
      </c>
      <c r="K193" s="85">
        <v>21.12</v>
      </c>
      <c r="L193" s="85">
        <v>431.0204081632653</v>
      </c>
      <c r="M193" s="86">
        <v>5</v>
      </c>
      <c r="N193" s="86">
        <v>34.622674999999994</v>
      </c>
      <c r="O193" s="62">
        <v>1.978438571428571</v>
      </c>
      <c r="P193" s="86">
        <v>19.962</v>
      </c>
      <c r="Q193" s="86">
        <v>355</v>
      </c>
      <c r="R193" s="86">
        <v>157.8475</v>
      </c>
      <c r="S193" s="86">
        <v>39.087468030690538</v>
      </c>
      <c r="T193" s="87">
        <v>1.5283199999999999</v>
      </c>
      <c r="U193" s="86">
        <v>134.34649999999999</v>
      </c>
      <c r="V193" s="31">
        <v>8</v>
      </c>
      <c r="W193" s="86">
        <v>32.799999999999997</v>
      </c>
      <c r="X193" s="86">
        <v>74</v>
      </c>
      <c r="Y193" s="88">
        <v>2.6995884773662548</v>
      </c>
      <c r="Z193" s="88">
        <v>3.6926147704590822</v>
      </c>
      <c r="AA193" s="86">
        <v>476.50007944178122</v>
      </c>
      <c r="AB193" s="86">
        <v>512.84749999999997</v>
      </c>
      <c r="AC193" s="85">
        <v>0.92912625964205975</v>
      </c>
      <c r="AD193" s="85">
        <v>36.347420558218744</v>
      </c>
      <c r="AE193" s="56">
        <v>2.019157391776591</v>
      </c>
    </row>
    <row r="194" spans="1:31" x14ac:dyDescent="0.3">
      <c r="A194" s="47">
        <v>33098</v>
      </c>
      <c r="B194" s="80" t="s">
        <v>65</v>
      </c>
      <c r="C194" s="3" t="s">
        <v>40</v>
      </c>
      <c r="D194" s="7" t="s">
        <v>41</v>
      </c>
      <c r="E194" s="7" t="s">
        <v>37</v>
      </c>
      <c r="F194" s="50">
        <v>5</v>
      </c>
      <c r="G194" s="17">
        <v>79.48</v>
      </c>
      <c r="H194" s="6">
        <v>102</v>
      </c>
      <c r="I194" s="56">
        <v>77.921568627450995</v>
      </c>
      <c r="J194" s="19">
        <v>2.81</v>
      </c>
      <c r="K194" s="18">
        <v>14.62</v>
      </c>
      <c r="L194" s="18">
        <v>298.36734693877548</v>
      </c>
      <c r="M194" s="20">
        <v>10.7</v>
      </c>
      <c r="N194" s="20">
        <v>92.642459149999993</v>
      </c>
      <c r="O194" s="62">
        <v>5.2938548085714281</v>
      </c>
      <c r="P194" s="20">
        <v>89.552400000000006</v>
      </c>
      <c r="Q194" s="20">
        <v>216.8</v>
      </c>
      <c r="R194" s="20">
        <v>127.16116</v>
      </c>
      <c r="S194" s="20">
        <v>35.423017902813299</v>
      </c>
      <c r="T194" s="21">
        <v>1.38504</v>
      </c>
      <c r="U194" s="20">
        <v>112.809</v>
      </c>
      <c r="V194" s="6">
        <v>5</v>
      </c>
      <c r="W194" s="20">
        <v>45.2</v>
      </c>
      <c r="X194" s="20">
        <v>73.2</v>
      </c>
      <c r="Y194" s="22">
        <v>3.7201646090534974</v>
      </c>
      <c r="Z194" s="22">
        <v>3.6526946107784433</v>
      </c>
      <c r="AA194" s="20">
        <v>341.16322406142069</v>
      </c>
      <c r="AB194" s="20">
        <v>343.96116000000001</v>
      </c>
      <c r="AC194" s="18">
        <v>0.99186554685831585</v>
      </c>
      <c r="AD194" s="18">
        <v>2.7979359385793146</v>
      </c>
      <c r="AE194" s="56">
        <v>1.7948944997978398</v>
      </c>
    </row>
    <row r="195" spans="1:31" x14ac:dyDescent="0.3">
      <c r="A195" s="47">
        <v>33098</v>
      </c>
      <c r="B195" s="80" t="s">
        <v>65</v>
      </c>
      <c r="C195" s="3" t="s">
        <v>40</v>
      </c>
      <c r="D195" s="7" t="s">
        <v>41</v>
      </c>
      <c r="E195" s="23" t="s">
        <v>38</v>
      </c>
      <c r="F195" s="52">
        <v>6</v>
      </c>
      <c r="G195" s="25">
        <v>87.2</v>
      </c>
      <c r="H195" s="24">
        <v>100</v>
      </c>
      <c r="I195" s="57">
        <v>87.2</v>
      </c>
      <c r="J195" s="27">
        <v>2.81</v>
      </c>
      <c r="K195" s="26">
        <v>16.899999999999999</v>
      </c>
      <c r="L195" s="26">
        <v>344.89795918367344</v>
      </c>
      <c r="M195" s="28">
        <v>11.4</v>
      </c>
      <c r="N195" s="28">
        <v>99.946156599999995</v>
      </c>
      <c r="O195" s="63">
        <v>5.7112089485714286</v>
      </c>
      <c r="P195" s="28">
        <v>96.850999999999999</v>
      </c>
      <c r="Q195" s="28">
        <v>264.64999999999998</v>
      </c>
      <c r="R195" s="28">
        <v>141.68973</v>
      </c>
      <c r="S195" s="28">
        <v>45.398465473145777</v>
      </c>
      <c r="T195" s="29">
        <v>1.77508</v>
      </c>
      <c r="U195" s="28">
        <v>124.1699</v>
      </c>
      <c r="V195" s="24">
        <v>6</v>
      </c>
      <c r="W195" s="28">
        <v>44</v>
      </c>
      <c r="X195" s="28">
        <v>66.8</v>
      </c>
      <c r="Y195" s="30">
        <v>3.6213991769547325</v>
      </c>
      <c r="Z195" s="30">
        <v>3.3333333333333335</v>
      </c>
      <c r="AA195" s="28">
        <v>397.25115716710729</v>
      </c>
      <c r="AB195" s="28">
        <v>406.33972999999997</v>
      </c>
      <c r="AC195" s="26">
        <v>0.97763306868148803</v>
      </c>
      <c r="AD195" s="26">
        <v>9.0885728328926803</v>
      </c>
      <c r="AE195" s="57">
        <v>1.5605123270500485</v>
      </c>
    </row>
    <row r="196" spans="1:31" x14ac:dyDescent="0.3">
      <c r="A196" s="47">
        <v>33098</v>
      </c>
      <c r="B196" s="80" t="s">
        <v>65</v>
      </c>
      <c r="C196" s="7" t="s">
        <v>40</v>
      </c>
      <c r="D196" s="7" t="s">
        <v>42</v>
      </c>
      <c r="E196" s="7" t="s">
        <v>37</v>
      </c>
      <c r="F196" s="50">
        <v>7</v>
      </c>
      <c r="G196" s="17">
        <v>99.88</v>
      </c>
      <c r="H196" s="6">
        <v>100</v>
      </c>
      <c r="I196" s="56">
        <v>99.88</v>
      </c>
      <c r="J196" s="19">
        <v>2.89</v>
      </c>
      <c r="K196" s="18">
        <v>15.07</v>
      </c>
      <c r="L196" s="18">
        <v>307.55102040816331</v>
      </c>
      <c r="M196" s="20">
        <v>11.4</v>
      </c>
      <c r="N196" s="20">
        <v>99.946156599999995</v>
      </c>
      <c r="O196" s="62">
        <v>5.7112089485714286</v>
      </c>
      <c r="P196" s="20">
        <v>98.303700000000006</v>
      </c>
      <c r="Q196" s="20">
        <v>238.6</v>
      </c>
      <c r="R196" s="20">
        <v>125.33642</v>
      </c>
      <c r="S196" s="20">
        <v>44.380562659846554</v>
      </c>
      <c r="T196" s="21">
        <v>1.7352800000000002</v>
      </c>
      <c r="U196" s="20">
        <v>109.5411</v>
      </c>
      <c r="V196" s="6">
        <v>7</v>
      </c>
      <c r="W196" s="20">
        <v>40</v>
      </c>
      <c r="X196" s="20">
        <v>58.8</v>
      </c>
      <c r="Y196" s="22">
        <v>3.2921810699588478</v>
      </c>
      <c r="Z196" s="22">
        <v>2.9341317365269459</v>
      </c>
      <c r="AA196" s="20">
        <v>358.15789587449564</v>
      </c>
      <c r="AB196" s="20">
        <v>363.93642</v>
      </c>
      <c r="AC196" s="18">
        <v>0.98412216033365285</v>
      </c>
      <c r="AD196" s="18">
        <v>5.7785241255043616</v>
      </c>
      <c r="AE196" s="56">
        <v>1.4120643417776957</v>
      </c>
    </row>
    <row r="197" spans="1:31" x14ac:dyDescent="0.3">
      <c r="A197" s="47">
        <v>33098</v>
      </c>
      <c r="B197" s="80" t="s">
        <v>65</v>
      </c>
      <c r="C197" s="7" t="s">
        <v>40</v>
      </c>
      <c r="D197" s="7" t="s">
        <v>42</v>
      </c>
      <c r="E197" s="81" t="s">
        <v>38</v>
      </c>
      <c r="F197" s="50">
        <v>8</v>
      </c>
      <c r="G197" s="17">
        <v>79.77</v>
      </c>
      <c r="H197" s="31">
        <v>100</v>
      </c>
      <c r="I197" s="56">
        <v>79.77</v>
      </c>
      <c r="J197" s="19">
        <v>2.79</v>
      </c>
      <c r="K197" s="85">
        <v>18.760000000000002</v>
      </c>
      <c r="L197" s="85">
        <v>382.85714285714289</v>
      </c>
      <c r="M197" s="86">
        <v>9.1999999999999993</v>
      </c>
      <c r="N197" s="86">
        <v>77.123134399999998</v>
      </c>
      <c r="O197" s="62">
        <v>4.407036251428571</v>
      </c>
      <c r="P197" s="86">
        <v>66.515500000000003</v>
      </c>
      <c r="Q197" s="86">
        <v>302.3</v>
      </c>
      <c r="R197" s="86">
        <v>149.53396000000001</v>
      </c>
      <c r="S197" s="86">
        <v>45.398465473145777</v>
      </c>
      <c r="T197" s="87">
        <v>1.77508</v>
      </c>
      <c r="U197" s="86">
        <v>129.52170000000001</v>
      </c>
      <c r="V197" s="31">
        <v>8</v>
      </c>
      <c r="W197" s="86">
        <v>39.200000000000003</v>
      </c>
      <c r="X197" s="86">
        <v>70.8</v>
      </c>
      <c r="Y197" s="88">
        <v>3.2263374485596708</v>
      </c>
      <c r="Z197" s="88">
        <v>3.532934131736527</v>
      </c>
      <c r="AA197" s="86">
        <v>435.01487991058485</v>
      </c>
      <c r="AB197" s="86">
        <v>451.83396000000005</v>
      </c>
      <c r="AC197" s="85">
        <v>0.96277597175428076</v>
      </c>
      <c r="AD197" s="85">
        <v>16.819080089415195</v>
      </c>
      <c r="AE197" s="56">
        <v>1.6469054453883771</v>
      </c>
    </row>
    <row r="198" spans="1:31" x14ac:dyDescent="0.3">
      <c r="A198" s="47">
        <v>33105</v>
      </c>
      <c r="B198" s="80" t="s">
        <v>66</v>
      </c>
      <c r="C198" s="7" t="s">
        <v>40</v>
      </c>
      <c r="D198" s="7" t="s">
        <v>41</v>
      </c>
      <c r="E198" s="7" t="s">
        <v>37</v>
      </c>
      <c r="F198" s="50">
        <v>5</v>
      </c>
      <c r="G198" s="17">
        <v>89.38</v>
      </c>
      <c r="H198" s="6">
        <v>100</v>
      </c>
      <c r="I198" s="56">
        <v>89.38</v>
      </c>
      <c r="J198" s="19">
        <v>2.93</v>
      </c>
      <c r="K198" s="18">
        <v>9.77</v>
      </c>
      <c r="L198" s="18">
        <v>199.38775510204081</v>
      </c>
      <c r="M198" s="20">
        <v>14</v>
      </c>
      <c r="N198" s="20">
        <v>127.41596</v>
      </c>
      <c r="O198" s="62">
        <v>7.2809119999999998</v>
      </c>
      <c r="P198" s="20">
        <v>134.5384</v>
      </c>
      <c r="Q198" s="20">
        <v>128.05000000000001</v>
      </c>
      <c r="R198" s="20">
        <v>107.74571</v>
      </c>
      <c r="S198" s="20">
        <v>36.237340153452685</v>
      </c>
      <c r="T198" s="21">
        <v>1.4168800000000001</v>
      </c>
      <c r="U198" s="20">
        <v>99.268799999999999</v>
      </c>
      <c r="V198" s="6">
        <v>5</v>
      </c>
      <c r="W198" s="20">
        <v>52.4</v>
      </c>
      <c r="X198" s="20">
        <v>54.8</v>
      </c>
      <c r="Y198" s="22">
        <v>4.3127572016460904</v>
      </c>
      <c r="Z198" s="22">
        <v>2.7345309381237528</v>
      </c>
      <c r="AA198" s="20">
        <v>242.67238339526335</v>
      </c>
      <c r="AB198" s="20">
        <v>235.79571000000001</v>
      </c>
      <c r="AC198" s="18">
        <v>1.0291636917196811</v>
      </c>
      <c r="AD198" s="18">
        <v>-6.8766733952633388</v>
      </c>
      <c r="AE198" s="56">
        <v>1.4866669234515273</v>
      </c>
    </row>
    <row r="199" spans="1:31" x14ac:dyDescent="0.3">
      <c r="A199" s="47">
        <v>33105</v>
      </c>
      <c r="B199" s="80" t="s">
        <v>66</v>
      </c>
      <c r="C199" s="7" t="s">
        <v>40</v>
      </c>
      <c r="D199" s="7" t="s">
        <v>41</v>
      </c>
      <c r="E199" s="7" t="s">
        <v>38</v>
      </c>
      <c r="F199" s="50">
        <v>6</v>
      </c>
      <c r="G199" s="17">
        <v>103.35</v>
      </c>
      <c r="H199" s="6">
        <v>101</v>
      </c>
      <c r="I199" s="56">
        <v>102.32673267326733</v>
      </c>
      <c r="J199" s="19">
        <v>2.91</v>
      </c>
      <c r="K199" s="18">
        <v>11.92</v>
      </c>
      <c r="L199" s="18">
        <v>243.26530612244898</v>
      </c>
      <c r="M199" s="20">
        <v>14.6</v>
      </c>
      <c r="N199" s="20">
        <v>133.83162859999999</v>
      </c>
      <c r="O199" s="62">
        <v>7.647521634285714</v>
      </c>
      <c r="P199" s="20">
        <v>140.49610000000001</v>
      </c>
      <c r="Q199" s="20">
        <v>172.55</v>
      </c>
      <c r="R199" s="20">
        <v>121.43051</v>
      </c>
      <c r="S199" s="20">
        <v>44.380562659846554</v>
      </c>
      <c r="T199" s="21">
        <v>1.7352800000000002</v>
      </c>
      <c r="U199" s="20">
        <v>110.0077</v>
      </c>
      <c r="V199" s="6">
        <v>6</v>
      </c>
      <c r="W199" s="20">
        <v>49.2</v>
      </c>
      <c r="X199" s="20">
        <v>47.6</v>
      </c>
      <c r="Y199" s="22">
        <v>4.0493827160493829</v>
      </c>
      <c r="Z199" s="22">
        <v>2.3752495009980037</v>
      </c>
      <c r="AA199" s="20">
        <v>294.07050099934287</v>
      </c>
      <c r="AB199" s="20">
        <v>293.98050999999998</v>
      </c>
      <c r="AC199" s="18">
        <v>1.000306112127443</v>
      </c>
      <c r="AD199" s="18">
        <v>-8.999099934288779E-2</v>
      </c>
      <c r="AE199" s="56">
        <v>1.3680596045018669</v>
      </c>
    </row>
    <row r="200" spans="1:31" x14ac:dyDescent="0.3">
      <c r="A200" s="47">
        <v>33105</v>
      </c>
      <c r="B200" s="80" t="s">
        <v>66</v>
      </c>
      <c r="C200" s="7" t="s">
        <v>40</v>
      </c>
      <c r="D200" s="7" t="s">
        <v>42</v>
      </c>
      <c r="E200" s="7" t="s">
        <v>37</v>
      </c>
      <c r="F200" s="50">
        <v>7</v>
      </c>
      <c r="G200" s="17">
        <v>111.84</v>
      </c>
      <c r="H200" s="6">
        <v>100</v>
      </c>
      <c r="I200" s="56">
        <v>111.84</v>
      </c>
      <c r="J200" s="19">
        <v>2.93</v>
      </c>
      <c r="K200" s="18">
        <v>11.59</v>
      </c>
      <c r="L200" s="18">
        <v>236.53061224489795</v>
      </c>
      <c r="M200" s="20">
        <v>13.2</v>
      </c>
      <c r="N200" s="20">
        <v>118.90635039999999</v>
      </c>
      <c r="O200" s="62">
        <v>6.7946485942857135</v>
      </c>
      <c r="P200" s="20">
        <v>125.4331</v>
      </c>
      <c r="Q200" s="20">
        <v>170.6</v>
      </c>
      <c r="R200" s="20">
        <v>115.06052</v>
      </c>
      <c r="S200" s="20">
        <v>42.548337595907924</v>
      </c>
      <c r="T200" s="21">
        <v>1.6636399999999998</v>
      </c>
      <c r="U200" s="20">
        <v>103.7668</v>
      </c>
      <c r="V200" s="6">
        <v>7</v>
      </c>
      <c r="W200" s="20">
        <v>45.6</v>
      </c>
      <c r="X200" s="20">
        <v>48.8</v>
      </c>
      <c r="Y200" s="22">
        <v>3.7530864197530858</v>
      </c>
      <c r="Z200" s="22">
        <v>2.435129740518962</v>
      </c>
      <c r="AA200" s="20">
        <v>285.2671660010779</v>
      </c>
      <c r="AB200" s="20">
        <v>285.66052000000002</v>
      </c>
      <c r="AC200" s="18">
        <v>0.99862300188026643</v>
      </c>
      <c r="AD200" s="18">
        <v>0.39335399892212308</v>
      </c>
      <c r="AE200" s="56">
        <v>1.3521153410593638</v>
      </c>
    </row>
    <row r="201" spans="1:31" x14ac:dyDescent="0.3">
      <c r="A201" s="47">
        <v>33105</v>
      </c>
      <c r="B201" s="80" t="s">
        <v>66</v>
      </c>
      <c r="C201" s="7" t="s">
        <v>40</v>
      </c>
      <c r="D201" s="7" t="s">
        <v>42</v>
      </c>
      <c r="E201" s="81" t="s">
        <v>38</v>
      </c>
      <c r="F201" s="50">
        <v>8</v>
      </c>
      <c r="G201" s="17">
        <v>91.15</v>
      </c>
      <c r="H201" s="31">
        <v>100</v>
      </c>
      <c r="I201" s="56">
        <v>91.15</v>
      </c>
      <c r="J201" s="19">
        <v>2.88</v>
      </c>
      <c r="K201" s="85">
        <v>13.55</v>
      </c>
      <c r="L201" s="85">
        <v>276.53061224489801</v>
      </c>
      <c r="M201" s="86">
        <v>12.5</v>
      </c>
      <c r="N201" s="86">
        <v>111.50226875</v>
      </c>
      <c r="O201" s="62">
        <v>6.3715582142857139</v>
      </c>
      <c r="P201" s="86">
        <v>114.9984</v>
      </c>
      <c r="Q201" s="86">
        <v>208.4</v>
      </c>
      <c r="R201" s="86">
        <v>132.23887999999999</v>
      </c>
      <c r="S201" s="86">
        <v>47.027109974424548</v>
      </c>
      <c r="T201" s="87">
        <v>1.83876</v>
      </c>
      <c r="U201" s="86">
        <v>118.44280000000001</v>
      </c>
      <c r="V201" s="31">
        <v>8</v>
      </c>
      <c r="W201" s="86">
        <v>45.6</v>
      </c>
      <c r="X201" s="86">
        <v>54.4</v>
      </c>
      <c r="Y201" s="88">
        <v>3.7530864197530858</v>
      </c>
      <c r="Z201" s="88">
        <v>2.7145708582834334</v>
      </c>
      <c r="AA201" s="86">
        <v>330.02537949735904</v>
      </c>
      <c r="AB201" s="86">
        <v>340.63887999999997</v>
      </c>
      <c r="AC201" s="85">
        <v>0.96884236907237087</v>
      </c>
      <c r="AD201" s="85">
        <v>10.613500502640932</v>
      </c>
      <c r="AE201" s="56">
        <v>1.4059856120428986</v>
      </c>
    </row>
    <row r="202" spans="1:31" x14ac:dyDescent="0.3">
      <c r="A202" s="47">
        <v>33112</v>
      </c>
      <c r="B202" s="80" t="s">
        <v>67</v>
      </c>
      <c r="C202" s="7" t="s">
        <v>40</v>
      </c>
      <c r="D202" s="7" t="s">
        <v>41</v>
      </c>
      <c r="E202" s="7" t="s">
        <v>37</v>
      </c>
      <c r="F202" s="50">
        <v>5</v>
      </c>
      <c r="G202" s="17">
        <v>100.36</v>
      </c>
      <c r="H202" s="6">
        <v>100</v>
      </c>
      <c r="I202" s="56">
        <v>100.36</v>
      </c>
      <c r="J202" s="19">
        <v>3.06</v>
      </c>
      <c r="K202" s="18">
        <v>7.09</v>
      </c>
      <c r="L202" s="18">
        <v>144.69387755102039</v>
      </c>
      <c r="M202" s="20">
        <v>15.2</v>
      </c>
      <c r="N202" s="20">
        <v>140.27597839999999</v>
      </c>
      <c r="O202" s="62">
        <v>8.0157701942857127</v>
      </c>
      <c r="P202" s="20">
        <v>145.1807</v>
      </c>
      <c r="Q202" s="20">
        <v>81.228399999999993</v>
      </c>
      <c r="R202" s="20">
        <v>104.30882008</v>
      </c>
      <c r="S202" s="20">
        <v>37.662404092071611</v>
      </c>
      <c r="T202" s="21">
        <v>1.4726000000000001</v>
      </c>
      <c r="U202" s="20">
        <v>98.9315</v>
      </c>
      <c r="V202" s="6">
        <v>5</v>
      </c>
      <c r="W202" s="20">
        <v>55.2</v>
      </c>
      <c r="X202" s="20">
        <v>54</v>
      </c>
      <c r="Y202" s="22">
        <v>4.5432098765432096</v>
      </c>
      <c r="Z202" s="22">
        <v>2.6946107784431139</v>
      </c>
      <c r="AA202" s="20">
        <v>189.59410229807835</v>
      </c>
      <c r="AB202" s="20">
        <v>185.53722008</v>
      </c>
      <c r="AC202" s="18">
        <v>1.021865597729281</v>
      </c>
      <c r="AD202" s="18">
        <v>-4.056882218078357</v>
      </c>
      <c r="AE202" s="56">
        <v>1.3847870654380008</v>
      </c>
    </row>
    <row r="203" spans="1:31" x14ac:dyDescent="0.3">
      <c r="A203" s="47">
        <v>33112</v>
      </c>
      <c r="B203" s="80" t="s">
        <v>67</v>
      </c>
      <c r="C203" s="7" t="s">
        <v>40</v>
      </c>
      <c r="D203" s="7" t="s">
        <v>41</v>
      </c>
      <c r="E203" s="7" t="s">
        <v>38</v>
      </c>
      <c r="F203" s="50">
        <v>6</v>
      </c>
      <c r="G203" s="17">
        <v>119.82</v>
      </c>
      <c r="H203" s="6">
        <v>100</v>
      </c>
      <c r="I203" s="56">
        <v>119.82</v>
      </c>
      <c r="J203" s="19">
        <v>3.06</v>
      </c>
      <c r="K203" s="18">
        <v>7.38</v>
      </c>
      <c r="L203" s="18">
        <v>150.61224489795919</v>
      </c>
      <c r="M203" s="20">
        <v>16.5</v>
      </c>
      <c r="N203" s="20">
        <v>154.33712874999998</v>
      </c>
      <c r="O203" s="62">
        <v>8.8192644999999992</v>
      </c>
      <c r="P203" s="20">
        <v>161.76679999999999</v>
      </c>
      <c r="Q203" s="20">
        <v>92.899299999999997</v>
      </c>
      <c r="R203" s="20">
        <v>107.75373366000001</v>
      </c>
      <c r="S203" s="20">
        <v>44.991304347826087</v>
      </c>
      <c r="T203" s="21">
        <v>1.7591600000000001</v>
      </c>
      <c r="U203" s="20">
        <v>101.60380000000001</v>
      </c>
      <c r="V203" s="6">
        <v>6</v>
      </c>
      <c r="W203" s="20">
        <v>52</v>
      </c>
      <c r="X203" s="20">
        <v>44.4</v>
      </c>
      <c r="Y203" s="22">
        <v>4.2798353909465021</v>
      </c>
      <c r="Z203" s="22">
        <v>2.2155688622754495</v>
      </c>
      <c r="AA203" s="20">
        <v>202.09895349900722</v>
      </c>
      <c r="AB203" s="20">
        <v>200.65303366000001</v>
      </c>
      <c r="AC203" s="18">
        <v>1.0072060701631718</v>
      </c>
      <c r="AD203" s="18">
        <v>-1.4459198390072174</v>
      </c>
      <c r="AE203" s="56">
        <v>1.1974951073540783</v>
      </c>
    </row>
    <row r="204" spans="1:31" ht="15" thickBot="1" x14ac:dyDescent="0.35">
      <c r="A204" s="47">
        <v>33112</v>
      </c>
      <c r="B204" s="80" t="s">
        <v>67</v>
      </c>
      <c r="C204" s="7" t="s">
        <v>40</v>
      </c>
      <c r="D204" s="7" t="s">
        <v>42</v>
      </c>
      <c r="E204" s="32" t="s">
        <v>37</v>
      </c>
      <c r="F204" s="51">
        <v>7</v>
      </c>
      <c r="G204" s="39">
        <v>135.4</v>
      </c>
      <c r="H204" s="33">
        <v>100</v>
      </c>
      <c r="I204" s="58">
        <v>135.4</v>
      </c>
      <c r="J204" s="41">
        <v>3.15</v>
      </c>
      <c r="K204" s="40">
        <v>6.89</v>
      </c>
      <c r="L204" s="40">
        <v>140.61224489795919</v>
      </c>
      <c r="M204" s="42">
        <v>15.8</v>
      </c>
      <c r="N204" s="42">
        <v>146.74900940000001</v>
      </c>
      <c r="O204" s="64">
        <v>8.3856576799999996</v>
      </c>
      <c r="P204" s="42">
        <v>152.3597</v>
      </c>
      <c r="Q204" s="42">
        <v>89.973399999999998</v>
      </c>
      <c r="R204" s="42">
        <v>99.113339080000003</v>
      </c>
      <c r="S204" s="42">
        <v>45.805626598465473</v>
      </c>
      <c r="T204" s="43">
        <v>1.7909999999999999</v>
      </c>
      <c r="U204" s="42">
        <v>93.1571</v>
      </c>
      <c r="V204" s="33">
        <v>7</v>
      </c>
      <c r="W204" s="42">
        <v>50.4</v>
      </c>
      <c r="X204" s="42">
        <v>45.2</v>
      </c>
      <c r="Y204" s="44">
        <v>4.1481481481481479</v>
      </c>
      <c r="Z204" s="44">
        <v>2.2554890219560879</v>
      </c>
      <c r="AA204" s="42">
        <v>192.8215086665289</v>
      </c>
      <c r="AB204" s="42">
        <v>189.08673908</v>
      </c>
      <c r="AC204" s="40">
        <v>1.0197516208947301</v>
      </c>
      <c r="AD204" s="40">
        <v>-3.7347695865288983</v>
      </c>
      <c r="AE204" s="58">
        <v>1.0818904405438303</v>
      </c>
    </row>
    <row r="205" spans="1:31" ht="15" thickTop="1" x14ac:dyDescent="0.3">
      <c r="A205" s="47">
        <v>33112</v>
      </c>
      <c r="B205" s="80" t="s">
        <v>67</v>
      </c>
      <c r="C205" s="3" t="s">
        <v>40</v>
      </c>
      <c r="D205" s="3" t="s">
        <v>42</v>
      </c>
      <c r="E205" s="3" t="s">
        <v>38</v>
      </c>
      <c r="F205" s="49">
        <v>8</v>
      </c>
      <c r="G205" s="14">
        <v>108.86</v>
      </c>
      <c r="H205" s="2">
        <v>99</v>
      </c>
      <c r="I205" s="55">
        <v>109.95959595959597</v>
      </c>
      <c r="J205" s="15">
        <v>3.04</v>
      </c>
      <c r="K205" s="13">
        <v>8.52</v>
      </c>
      <c r="L205" s="13">
        <v>173.87755102040816</v>
      </c>
      <c r="M205" s="4">
        <v>14.6</v>
      </c>
      <c r="N205" s="4">
        <v>133.83162859999999</v>
      </c>
      <c r="O205" s="61">
        <v>7.647521634285714</v>
      </c>
      <c r="P205" s="4">
        <v>137.8836</v>
      </c>
      <c r="Q205" s="4">
        <v>118.2704</v>
      </c>
      <c r="R205" s="4">
        <v>118.59250048</v>
      </c>
      <c r="S205" s="4">
        <v>48.452173913043474</v>
      </c>
      <c r="T205" s="16">
        <v>1.8944799999999999</v>
      </c>
      <c r="U205" s="4">
        <v>110.76300000000001</v>
      </c>
      <c r="V205" s="2">
        <v>8</v>
      </c>
      <c r="W205" s="4">
        <v>49.6</v>
      </c>
      <c r="X205" s="4">
        <v>46.8</v>
      </c>
      <c r="Y205" s="5">
        <v>4.0823045267489713</v>
      </c>
      <c r="Z205" s="5">
        <v>2.3353293413173652</v>
      </c>
      <c r="AA205" s="4">
        <v>228.74735880151798</v>
      </c>
      <c r="AB205" s="4">
        <v>236.86290048000001</v>
      </c>
      <c r="AC205" s="13">
        <v>0.96573738790652319</v>
      </c>
      <c r="AD205" s="13">
        <v>8.1155416784820318</v>
      </c>
      <c r="AE205" s="55">
        <v>1.223809902656138</v>
      </c>
    </row>
    <row r="206" spans="1:31" x14ac:dyDescent="0.3">
      <c r="A206" s="47">
        <v>33119</v>
      </c>
      <c r="B206" s="80" t="s">
        <v>68</v>
      </c>
      <c r="C206" s="3" t="s">
        <v>40</v>
      </c>
      <c r="D206" s="3" t="s">
        <v>41</v>
      </c>
      <c r="E206" s="7" t="s">
        <v>37</v>
      </c>
      <c r="F206" s="50">
        <v>5</v>
      </c>
      <c r="G206" s="17">
        <v>100.17</v>
      </c>
      <c r="H206" s="6">
        <v>101</v>
      </c>
      <c r="I206" s="56">
        <v>99.178217821782184</v>
      </c>
      <c r="J206" s="19">
        <v>3.21</v>
      </c>
      <c r="K206" s="18">
        <v>5.78</v>
      </c>
      <c r="L206" s="18">
        <v>117.95918367346938</v>
      </c>
      <c r="M206" s="20">
        <v>16.600000000000001</v>
      </c>
      <c r="N206" s="20">
        <v>155.42433259999999</v>
      </c>
      <c r="O206" s="62">
        <v>8.8813904342857128</v>
      </c>
      <c r="P206" s="20">
        <v>156.1448</v>
      </c>
      <c r="Q206" s="20">
        <v>61.195999999999998</v>
      </c>
      <c r="R206" s="20">
        <v>95.110075199999997</v>
      </c>
      <c r="S206" s="20">
        <v>38.47672634271099</v>
      </c>
      <c r="T206" s="21">
        <v>1.5044399999999998</v>
      </c>
      <c r="U206" s="20">
        <v>91.058899999999994</v>
      </c>
      <c r="V206" s="6">
        <v>5</v>
      </c>
      <c r="W206" s="20">
        <v>58</v>
      </c>
      <c r="X206" s="20">
        <v>50.8</v>
      </c>
      <c r="Y206" s="22">
        <v>4.7736625514403288</v>
      </c>
      <c r="Z206" s="22">
        <v>2.5349301397205588</v>
      </c>
      <c r="AA206" s="20">
        <v>163.74450270734127</v>
      </c>
      <c r="AB206" s="20">
        <v>156.30607520000001</v>
      </c>
      <c r="AC206" s="18">
        <v>1.0475888572969636</v>
      </c>
      <c r="AD206" s="18">
        <v>-7.4384275073412596</v>
      </c>
      <c r="AE206" s="56">
        <v>1.2359429223897267</v>
      </c>
    </row>
    <row r="207" spans="1:31" x14ac:dyDescent="0.3">
      <c r="A207" s="47">
        <v>33119</v>
      </c>
      <c r="B207" s="80" t="s">
        <v>68</v>
      </c>
      <c r="C207" s="3" t="s">
        <v>40</v>
      </c>
      <c r="D207" s="7" t="s">
        <v>41</v>
      </c>
      <c r="E207" s="7" t="s">
        <v>38</v>
      </c>
      <c r="F207" s="50">
        <v>6</v>
      </c>
      <c r="G207" s="17">
        <v>117.81</v>
      </c>
      <c r="H207" s="6">
        <v>106</v>
      </c>
      <c r="I207" s="56">
        <v>111.14150943396226</v>
      </c>
      <c r="J207" s="19">
        <v>3.14</v>
      </c>
      <c r="K207" s="18">
        <v>6.56</v>
      </c>
      <c r="L207" s="18">
        <v>133.87755102040816</v>
      </c>
      <c r="M207" s="20">
        <v>17.899999999999999</v>
      </c>
      <c r="N207" s="20">
        <v>169.63048234999997</v>
      </c>
      <c r="O207" s="62">
        <v>9.6931704199999977</v>
      </c>
      <c r="P207" s="20">
        <v>173.53550000000001</v>
      </c>
      <c r="Q207" s="20">
        <v>79.460300000000004</v>
      </c>
      <c r="R207" s="20">
        <v>106.51487186</v>
      </c>
      <c r="S207" s="20">
        <v>46.00920716112531</v>
      </c>
      <c r="T207" s="21">
        <v>1.7989599999999999</v>
      </c>
      <c r="U207" s="20">
        <v>101.2546</v>
      </c>
      <c r="V207" s="6">
        <v>6</v>
      </c>
      <c r="W207" s="20">
        <v>56.8</v>
      </c>
      <c r="X207" s="20">
        <v>43.2</v>
      </c>
      <c r="Y207" s="22">
        <v>4.6748971193415638</v>
      </c>
      <c r="Z207" s="22">
        <v>2.1556886227544911</v>
      </c>
      <c r="AA207" s="20">
        <v>186.71734392362953</v>
      </c>
      <c r="AB207" s="20">
        <v>185.97517185999999</v>
      </c>
      <c r="AC207" s="18">
        <v>1.0039907050828711</v>
      </c>
      <c r="AD207" s="18">
        <v>-0.74217206362953902</v>
      </c>
      <c r="AE207" s="56">
        <v>1.1575386583709479</v>
      </c>
    </row>
    <row r="208" spans="1:31" x14ac:dyDescent="0.3">
      <c r="A208" s="47">
        <v>33119</v>
      </c>
      <c r="B208" s="80" t="s">
        <v>68</v>
      </c>
      <c r="C208" s="3" t="s">
        <v>40</v>
      </c>
      <c r="D208" s="7" t="s">
        <v>42</v>
      </c>
      <c r="E208" s="23" t="s">
        <v>37</v>
      </c>
      <c r="F208" s="52">
        <v>7</v>
      </c>
      <c r="G208" s="25">
        <v>114.01</v>
      </c>
      <c r="H208" s="24">
        <v>95</v>
      </c>
      <c r="I208" s="57">
        <v>120.01052631578948</v>
      </c>
      <c r="J208" s="27">
        <v>3.24</v>
      </c>
      <c r="K208" s="26">
        <v>6.26</v>
      </c>
      <c r="L208" s="26">
        <v>127.75510204081633</v>
      </c>
      <c r="M208" s="28">
        <v>16.399999999999999</v>
      </c>
      <c r="N208" s="28">
        <v>153.25072159999996</v>
      </c>
      <c r="O208" s="63">
        <v>8.7571840914285701</v>
      </c>
      <c r="P208" s="28">
        <v>158.4573</v>
      </c>
      <c r="Q208" s="28">
        <v>77.101399999999998</v>
      </c>
      <c r="R208" s="28">
        <v>97.761312680000003</v>
      </c>
      <c r="S208" s="28">
        <v>45.398465473145777</v>
      </c>
      <c r="T208" s="29">
        <v>1.77508</v>
      </c>
      <c r="U208" s="28">
        <v>92.657200000000003</v>
      </c>
      <c r="V208" s="24">
        <v>7</v>
      </c>
      <c r="W208" s="28">
        <v>52.4</v>
      </c>
      <c r="X208" s="28">
        <v>42.8</v>
      </c>
      <c r="Y208" s="30">
        <v>4.3127572016460904</v>
      </c>
      <c r="Z208" s="30">
        <v>2.1357285429141721</v>
      </c>
      <c r="AA208" s="28">
        <v>179.60205325852237</v>
      </c>
      <c r="AB208" s="28">
        <v>174.86271268000002</v>
      </c>
      <c r="AC208" s="26">
        <v>1.0271032086022558</v>
      </c>
      <c r="AD208" s="26">
        <v>-4.7393405785223592</v>
      </c>
      <c r="AE208" s="57">
        <v>1.0767028319253218</v>
      </c>
    </row>
    <row r="209" spans="1:31" x14ac:dyDescent="0.3">
      <c r="A209" s="47">
        <v>33119</v>
      </c>
      <c r="B209" s="80" t="s">
        <v>68</v>
      </c>
      <c r="C209" s="7" t="s">
        <v>40</v>
      </c>
      <c r="D209" s="7" t="s">
        <v>42</v>
      </c>
      <c r="E209" s="81" t="s">
        <v>38</v>
      </c>
      <c r="F209" s="50">
        <v>8</v>
      </c>
      <c r="G209" s="17">
        <v>105.2</v>
      </c>
      <c r="H209" s="31">
        <v>102</v>
      </c>
      <c r="I209" s="56">
        <v>103.1372549019608</v>
      </c>
      <c r="J209" s="19">
        <v>3.13</v>
      </c>
      <c r="K209" s="85">
        <v>7.5</v>
      </c>
      <c r="L209" s="85">
        <v>153.06122448979593</v>
      </c>
      <c r="M209" s="86">
        <v>16.100000000000001</v>
      </c>
      <c r="N209" s="86">
        <v>149.99628035000001</v>
      </c>
      <c r="O209" s="62">
        <v>8.5712160199999996</v>
      </c>
      <c r="P209" s="86">
        <v>152.67779999999999</v>
      </c>
      <c r="Q209" s="86">
        <v>94.499700000000004</v>
      </c>
      <c r="R209" s="86">
        <v>113.65218014</v>
      </c>
      <c r="S209" s="86">
        <v>45.398465473145777</v>
      </c>
      <c r="T209" s="87">
        <v>1.77508</v>
      </c>
      <c r="U209" s="86">
        <v>107.3963</v>
      </c>
      <c r="V209" s="31">
        <v>8</v>
      </c>
      <c r="W209" s="86">
        <v>51.2</v>
      </c>
      <c r="X209" s="86">
        <v>42.4</v>
      </c>
      <c r="Y209" s="88">
        <v>4.2139917695473255</v>
      </c>
      <c r="Z209" s="88">
        <v>2.1157684630738527</v>
      </c>
      <c r="AA209" s="86">
        <v>204.78945019556289</v>
      </c>
      <c r="AB209" s="86">
        <v>208.15188014</v>
      </c>
      <c r="AC209" s="85">
        <v>0.98384626676359788</v>
      </c>
      <c r="AD209" s="85">
        <v>3.3624299444371104</v>
      </c>
      <c r="AE209" s="56">
        <v>1.2517183009988282</v>
      </c>
    </row>
    <row r="210" spans="1:31" x14ac:dyDescent="0.3">
      <c r="A210" s="47">
        <v>33126</v>
      </c>
      <c r="B210" s="80" t="s">
        <v>69</v>
      </c>
      <c r="C210" s="7" t="s">
        <v>40</v>
      </c>
      <c r="D210" s="7" t="s">
        <v>41</v>
      </c>
      <c r="E210" s="7" t="s">
        <v>37</v>
      </c>
      <c r="F210" s="50">
        <v>5</v>
      </c>
      <c r="G210" s="17">
        <v>118.9</v>
      </c>
      <c r="H210" s="6">
        <v>105</v>
      </c>
      <c r="I210" s="56">
        <v>113.23809523809526</v>
      </c>
      <c r="J210" s="19">
        <v>3.36</v>
      </c>
      <c r="K210" s="18">
        <v>4.4400000000000004</v>
      </c>
      <c r="L210" s="18">
        <v>90.612244897959187</v>
      </c>
      <c r="M210" s="20">
        <v>18</v>
      </c>
      <c r="N210" s="20">
        <v>170.72883999999999</v>
      </c>
      <c r="O210" s="62">
        <v>9.7559337142857139</v>
      </c>
      <c r="P210" s="20">
        <v>170.35640000000001</v>
      </c>
      <c r="Q210" s="20">
        <v>40.744999999999997</v>
      </c>
      <c r="R210" s="20">
        <v>86.717418999999992</v>
      </c>
      <c r="S210" s="20">
        <v>40.308951406649612</v>
      </c>
      <c r="T210" s="21">
        <v>1.5760799999999999</v>
      </c>
      <c r="U210" s="20">
        <v>84.020099999999999</v>
      </c>
      <c r="V210" s="6">
        <v>5</v>
      </c>
      <c r="W210" s="20">
        <v>64</v>
      </c>
      <c r="X210" s="20">
        <v>42.8</v>
      </c>
      <c r="Y210" s="22">
        <v>5.2674897119341564</v>
      </c>
      <c r="Z210" s="22">
        <v>2.1357285429141721</v>
      </c>
      <c r="AA210" s="20">
        <v>138.32441455945713</v>
      </c>
      <c r="AB210" s="20">
        <v>127.46241899999998</v>
      </c>
      <c r="AC210" s="18">
        <v>1.0852172400671067</v>
      </c>
      <c r="AD210" s="18">
        <v>-10.861995559457142</v>
      </c>
      <c r="AE210" s="56">
        <v>1.0756595740381198</v>
      </c>
    </row>
    <row r="211" spans="1:31" x14ac:dyDescent="0.3">
      <c r="A211" s="47">
        <v>33126</v>
      </c>
      <c r="B211" s="80" t="s">
        <v>69</v>
      </c>
      <c r="C211" s="7" t="s">
        <v>40</v>
      </c>
      <c r="D211" s="7" t="s">
        <v>41</v>
      </c>
      <c r="E211" s="7" t="s">
        <v>38</v>
      </c>
      <c r="F211" s="50">
        <v>6</v>
      </c>
      <c r="G211" s="17">
        <v>129.19999999999999</v>
      </c>
      <c r="H211" s="6">
        <v>100</v>
      </c>
      <c r="I211" s="56">
        <v>129.19999999999999</v>
      </c>
      <c r="J211" s="19">
        <v>3.29</v>
      </c>
      <c r="K211" s="18">
        <v>5.78</v>
      </c>
      <c r="L211" s="18">
        <v>117.95918367346938</v>
      </c>
      <c r="M211" s="20">
        <v>19.600000000000001</v>
      </c>
      <c r="N211" s="20">
        <v>188.41091360000001</v>
      </c>
      <c r="O211" s="62">
        <v>10.766337920000002</v>
      </c>
      <c r="P211" s="20">
        <v>188.45609999999999</v>
      </c>
      <c r="Q211" s="20">
        <v>64.816900000000004</v>
      </c>
      <c r="R211" s="20">
        <v>97.286478779999996</v>
      </c>
      <c r="S211" s="20">
        <v>47.027109974424548</v>
      </c>
      <c r="T211" s="21">
        <v>1.83876</v>
      </c>
      <c r="U211" s="20">
        <v>92.995599999999996</v>
      </c>
      <c r="V211" s="6">
        <v>6</v>
      </c>
      <c r="W211" s="20">
        <v>62</v>
      </c>
      <c r="X211" s="20">
        <v>37.6</v>
      </c>
      <c r="Y211" s="22">
        <v>5.1028806584362139</v>
      </c>
      <c r="Z211" s="22">
        <v>1.8762475049900198</v>
      </c>
      <c r="AA211" s="20">
        <v>171.9654218113202</v>
      </c>
      <c r="AB211" s="20">
        <v>162.10337878000001</v>
      </c>
      <c r="AC211" s="18">
        <v>1.0608379856455956</v>
      </c>
      <c r="AD211" s="18">
        <v>-9.8620430313201837</v>
      </c>
      <c r="AE211" s="56">
        <v>1.0343659097157867</v>
      </c>
    </row>
    <row r="212" spans="1:31" x14ac:dyDescent="0.3">
      <c r="A212" s="47">
        <v>33126</v>
      </c>
      <c r="B212" s="80" t="s">
        <v>69</v>
      </c>
      <c r="C212" s="7" t="s">
        <v>40</v>
      </c>
      <c r="D212" s="7" t="s">
        <v>42</v>
      </c>
      <c r="E212" s="7" t="s">
        <v>37</v>
      </c>
      <c r="F212" s="50">
        <v>7</v>
      </c>
      <c r="G212" s="17">
        <v>145.19999999999999</v>
      </c>
      <c r="H212" s="6">
        <v>100</v>
      </c>
      <c r="I212" s="56">
        <v>145.19999999999999</v>
      </c>
      <c r="J212" s="19">
        <v>3.41</v>
      </c>
      <c r="K212" s="18">
        <v>5.05</v>
      </c>
      <c r="L212" s="18">
        <v>103.06122448979592</v>
      </c>
      <c r="M212" s="20">
        <v>18.5</v>
      </c>
      <c r="N212" s="20">
        <v>176.23257874999999</v>
      </c>
      <c r="O212" s="62">
        <v>10.070433071428571</v>
      </c>
      <c r="P212" s="20">
        <v>175.45140000000001</v>
      </c>
      <c r="Q212" s="20">
        <v>59.273600000000002</v>
      </c>
      <c r="R212" s="20">
        <v>89.433812320000001</v>
      </c>
      <c r="S212" s="20">
        <v>50.487979539641941</v>
      </c>
      <c r="T212" s="21">
        <v>1.9740799999999998</v>
      </c>
      <c r="U212" s="20">
        <v>85.509900000000002</v>
      </c>
      <c r="V212" s="6">
        <v>7</v>
      </c>
      <c r="W212" s="20">
        <v>58</v>
      </c>
      <c r="X212" s="20">
        <v>38</v>
      </c>
      <c r="Y212" s="22">
        <v>4.7736625514403288</v>
      </c>
      <c r="Z212" s="22">
        <v>1.8962075848303395</v>
      </c>
      <c r="AA212" s="20">
        <v>160.21907416570855</v>
      </c>
      <c r="AB212" s="20">
        <v>148.70741232</v>
      </c>
      <c r="AC212" s="18">
        <v>1.0774114865299174</v>
      </c>
      <c r="AD212" s="18">
        <v>-11.511661845708545</v>
      </c>
      <c r="AE212" s="56">
        <v>0.88569411110795926</v>
      </c>
    </row>
    <row r="213" spans="1:31" x14ac:dyDescent="0.3">
      <c r="A213" s="47">
        <v>33126</v>
      </c>
      <c r="B213" s="80" t="s">
        <v>69</v>
      </c>
      <c r="C213" s="7" t="s">
        <v>40</v>
      </c>
      <c r="D213" s="81"/>
      <c r="E213" s="81" t="s">
        <v>38</v>
      </c>
      <c r="F213" s="50">
        <v>8</v>
      </c>
      <c r="G213" s="17">
        <v>125.8</v>
      </c>
      <c r="H213" s="31">
        <v>101</v>
      </c>
      <c r="I213" s="56">
        <v>124.55445544554455</v>
      </c>
      <c r="J213" s="19">
        <v>3.29</v>
      </c>
      <c r="K213" s="85">
        <v>6.41</v>
      </c>
      <c r="L213" s="85">
        <v>130.81632653061226</v>
      </c>
      <c r="M213" s="86">
        <v>18.100000000000001</v>
      </c>
      <c r="N213" s="86">
        <v>171.82799435000001</v>
      </c>
      <c r="O213" s="62">
        <v>9.8187425342857146</v>
      </c>
      <c r="P213" s="86">
        <v>171.5882</v>
      </c>
      <c r="Q213" s="86">
        <v>74.038399999999996</v>
      </c>
      <c r="R213" s="86">
        <v>102.62014207999999</v>
      </c>
      <c r="S213" s="86">
        <v>48.655754475703326</v>
      </c>
      <c r="T213" s="87">
        <v>1.9024400000000001</v>
      </c>
      <c r="U213" s="86">
        <v>97.718800000000002</v>
      </c>
      <c r="V213" s="31">
        <v>8</v>
      </c>
      <c r="W213" s="86">
        <v>56.4</v>
      </c>
      <c r="X213" s="86">
        <v>38</v>
      </c>
      <c r="Y213" s="88">
        <v>4.6419753086419755</v>
      </c>
      <c r="Z213" s="88">
        <v>1.8962075848303395</v>
      </c>
      <c r="AA213" s="86">
        <v>186.0102638997879</v>
      </c>
      <c r="AB213" s="86">
        <v>176.65854207999999</v>
      </c>
      <c r="AC213" s="85">
        <v>1.052936708916985</v>
      </c>
      <c r="AD213" s="85">
        <v>-9.3517218197879117</v>
      </c>
      <c r="AE213" s="56">
        <v>1.0545529833603162</v>
      </c>
    </row>
    <row r="214" spans="1:31" x14ac:dyDescent="0.3">
      <c r="A214" s="47">
        <v>33133</v>
      </c>
      <c r="B214" s="80" t="s">
        <v>70</v>
      </c>
      <c r="C214" s="81" t="s">
        <v>40</v>
      </c>
      <c r="D214" s="81" t="s">
        <v>41</v>
      </c>
      <c r="E214" s="81" t="s">
        <v>37</v>
      </c>
      <c r="F214" s="50">
        <v>5</v>
      </c>
      <c r="G214" s="19">
        <v>111.36</v>
      </c>
      <c r="H214" s="31">
        <v>102</v>
      </c>
      <c r="I214" s="56">
        <v>109.17647058823529</v>
      </c>
      <c r="J214" s="19">
        <v>3.27</v>
      </c>
      <c r="K214" s="85">
        <v>4.58</v>
      </c>
      <c r="L214" s="85">
        <v>93.469387755102034</v>
      </c>
      <c r="M214" s="86">
        <v>18.8</v>
      </c>
      <c r="N214" s="86">
        <v>179.54438239999999</v>
      </c>
      <c r="O214" s="62">
        <v>10.259678994285714</v>
      </c>
      <c r="P214" s="86">
        <v>179.45330000000001</v>
      </c>
      <c r="Q214" s="86">
        <v>39.9495</v>
      </c>
      <c r="R214" s="86">
        <v>92.997956900000005</v>
      </c>
      <c r="S214" s="86">
        <v>42.344757033248079</v>
      </c>
      <c r="T214" s="87">
        <v>1.65568</v>
      </c>
      <c r="U214" s="86">
        <v>90.353300000000004</v>
      </c>
      <c r="V214" s="31">
        <v>5</v>
      </c>
      <c r="W214" s="86">
        <v>70</v>
      </c>
      <c r="X214" s="86">
        <v>48</v>
      </c>
      <c r="Y214" s="88">
        <v>5.7613168724279831</v>
      </c>
      <c r="Z214" s="88">
        <v>2.3952095808383236</v>
      </c>
      <c r="AA214" s="86">
        <v>143.97067124161643</v>
      </c>
      <c r="AB214" s="86">
        <v>132.94745690000002</v>
      </c>
      <c r="AC214" s="85">
        <v>1.0829140669453181</v>
      </c>
      <c r="AD214" s="85">
        <v>-11.023214341616409</v>
      </c>
      <c r="AE214" s="56">
        <v>1.0981047408889399</v>
      </c>
    </row>
    <row r="215" spans="1:31" x14ac:dyDescent="0.3">
      <c r="A215" s="47">
        <v>33133</v>
      </c>
      <c r="B215" s="80" t="s">
        <v>70</v>
      </c>
      <c r="C215" s="81" t="s">
        <v>40</v>
      </c>
      <c r="D215" s="81" t="s">
        <v>41</v>
      </c>
      <c r="E215" s="7" t="s">
        <v>38</v>
      </c>
      <c r="F215" s="50">
        <v>6</v>
      </c>
      <c r="G215" s="19">
        <v>125.84</v>
      </c>
      <c r="H215" s="6">
        <v>99</v>
      </c>
      <c r="I215" s="56">
        <v>127.11111111111111</v>
      </c>
      <c r="J215" s="19">
        <v>3.32</v>
      </c>
      <c r="K215" s="18">
        <v>4.8600000000000003</v>
      </c>
      <c r="L215" s="18">
        <v>99.18367346938777</v>
      </c>
      <c r="M215" s="20">
        <v>20.9</v>
      </c>
      <c r="N215" s="20">
        <v>202.92777635000002</v>
      </c>
      <c r="O215" s="62">
        <v>11.595872934285715</v>
      </c>
      <c r="P215" s="20">
        <v>203.2303</v>
      </c>
      <c r="Q215" s="20">
        <v>47.889000000000003</v>
      </c>
      <c r="R215" s="20">
        <v>90.552551800000003</v>
      </c>
      <c r="S215" s="20">
        <v>49.470076726342711</v>
      </c>
      <c r="T215" s="21">
        <v>1.9342800000000002</v>
      </c>
      <c r="U215" s="20">
        <v>87.382300000000001</v>
      </c>
      <c r="V215" s="6">
        <v>6</v>
      </c>
      <c r="W215" s="20">
        <v>68</v>
      </c>
      <c r="X215" s="20">
        <v>34.799999999999997</v>
      </c>
      <c r="Y215" s="22">
        <v>5.5967078189300405</v>
      </c>
      <c r="Z215" s="22">
        <v>1.7365269461077844</v>
      </c>
      <c r="AA215" s="20">
        <v>155.9869849607683</v>
      </c>
      <c r="AB215" s="20">
        <v>138.44155180000001</v>
      </c>
      <c r="AC215" s="18">
        <v>1.1267353112750089</v>
      </c>
      <c r="AD215" s="18">
        <v>-17.545433160768283</v>
      </c>
      <c r="AE215" s="56">
        <v>0.91522550390326118</v>
      </c>
    </row>
    <row r="216" spans="1:31" x14ac:dyDescent="0.3">
      <c r="A216" s="47">
        <v>33133</v>
      </c>
      <c r="B216" s="80" t="s">
        <v>70</v>
      </c>
      <c r="C216" s="81" t="s">
        <v>40</v>
      </c>
      <c r="D216" s="7" t="s">
        <v>42</v>
      </c>
      <c r="E216" s="7" t="s">
        <v>37</v>
      </c>
      <c r="F216" s="50">
        <v>7</v>
      </c>
      <c r="G216" s="19">
        <v>148.69999999999999</v>
      </c>
      <c r="H216" s="6">
        <v>100</v>
      </c>
      <c r="I216" s="56">
        <v>148.69999999999999</v>
      </c>
      <c r="J216" s="19">
        <v>3.45</v>
      </c>
      <c r="K216" s="18">
        <v>4.4400000000000004</v>
      </c>
      <c r="L216" s="18">
        <v>90.612244897959187</v>
      </c>
      <c r="M216" s="20">
        <v>19.600000000000001</v>
      </c>
      <c r="N216" s="20">
        <v>188.41091360000001</v>
      </c>
      <c r="O216" s="62">
        <v>10.766337920000002</v>
      </c>
      <c r="P216" s="20">
        <v>186.8563</v>
      </c>
      <c r="Q216" s="20">
        <v>47.976399999999998</v>
      </c>
      <c r="R216" s="20">
        <v>80.36843768</v>
      </c>
      <c r="S216" s="20">
        <v>48.248593350383629</v>
      </c>
      <c r="T216" s="21">
        <v>1.88652</v>
      </c>
      <c r="U216" s="20">
        <v>77.192400000000006</v>
      </c>
      <c r="V216" s="6">
        <v>7</v>
      </c>
      <c r="W216" s="20">
        <v>63.6</v>
      </c>
      <c r="X216" s="20">
        <v>36.799999999999997</v>
      </c>
      <c r="Y216" s="22">
        <v>5.2345679012345681</v>
      </c>
      <c r="Z216" s="22">
        <v>1.8363273453093816</v>
      </c>
      <c r="AA216" s="20">
        <v>145.93173349488674</v>
      </c>
      <c r="AB216" s="20">
        <v>128.34483768000001</v>
      </c>
      <c r="AC216" s="18">
        <v>1.1370284627943965</v>
      </c>
      <c r="AD216" s="18">
        <v>-17.586895814886731</v>
      </c>
      <c r="AE216" s="56">
        <v>0.83285783169221639</v>
      </c>
    </row>
    <row r="217" spans="1:31" ht="15" thickBot="1" x14ac:dyDescent="0.35">
      <c r="A217" s="47">
        <v>33133</v>
      </c>
      <c r="B217" s="80" t="s">
        <v>70</v>
      </c>
      <c r="C217" s="81" t="s">
        <v>40</v>
      </c>
      <c r="D217" s="7" t="s">
        <v>42</v>
      </c>
      <c r="E217" s="32" t="s">
        <v>38</v>
      </c>
      <c r="F217" s="51">
        <v>8</v>
      </c>
      <c r="G217" s="41">
        <v>122.42</v>
      </c>
      <c r="H217" s="33">
        <v>100</v>
      </c>
      <c r="I217" s="58">
        <v>122.42</v>
      </c>
      <c r="J217" s="41">
        <v>3.32</v>
      </c>
      <c r="K217" s="40">
        <v>5.28</v>
      </c>
      <c r="L217" s="40">
        <v>107.75510204081633</v>
      </c>
      <c r="M217" s="42">
        <v>19.3</v>
      </c>
      <c r="N217" s="42">
        <v>185.07998914999999</v>
      </c>
      <c r="O217" s="64">
        <v>10.575999379999999</v>
      </c>
      <c r="P217" s="42">
        <v>185.39689999999999</v>
      </c>
      <c r="Q217" s="42">
        <v>55.398000000000003</v>
      </c>
      <c r="R217" s="42">
        <v>98.038247600000005</v>
      </c>
      <c r="S217" s="42">
        <v>52.116624040920712</v>
      </c>
      <c r="T217" s="43">
        <v>2.03776</v>
      </c>
      <c r="U217" s="42">
        <v>94.370900000000006</v>
      </c>
      <c r="V217" s="33">
        <v>8</v>
      </c>
      <c r="W217" s="42">
        <v>62</v>
      </c>
      <c r="X217" s="42">
        <v>34.799999999999997</v>
      </c>
      <c r="Y217" s="44">
        <v>5.1028806584362139</v>
      </c>
      <c r="Z217" s="44">
        <v>1.7365269461077844</v>
      </c>
      <c r="AA217" s="42">
        <v>166.71113368628104</v>
      </c>
      <c r="AB217" s="42">
        <v>153.4362476</v>
      </c>
      <c r="AC217" s="40">
        <v>1.0865172753760763</v>
      </c>
      <c r="AD217" s="40">
        <v>-13.274886086281043</v>
      </c>
      <c r="AE217" s="58">
        <v>0.94056598450259121</v>
      </c>
    </row>
    <row r="218" spans="1:31" ht="15" thickTop="1" x14ac:dyDescent="0.3">
      <c r="A218" s="47">
        <v>33140</v>
      </c>
      <c r="B218" s="80" t="s">
        <v>71</v>
      </c>
      <c r="C218" s="3" t="s">
        <v>40</v>
      </c>
      <c r="D218" s="3" t="s">
        <v>41</v>
      </c>
      <c r="E218" s="3" t="s">
        <v>37</v>
      </c>
      <c r="F218" s="49">
        <v>5</v>
      </c>
      <c r="G218" s="15">
        <v>121.36</v>
      </c>
      <c r="H218" s="2">
        <v>105</v>
      </c>
      <c r="I218" s="55">
        <v>115.58095238095238</v>
      </c>
      <c r="J218" s="15">
        <v>3.32</v>
      </c>
      <c r="K218" s="13">
        <v>4.99</v>
      </c>
      <c r="L218" s="13">
        <v>101.83673469387755</v>
      </c>
      <c r="M218" s="4">
        <v>18.600000000000001</v>
      </c>
      <c r="N218" s="4">
        <v>177.33571659999998</v>
      </c>
      <c r="O218" s="61">
        <v>10.133469519999998</v>
      </c>
      <c r="P218" s="4">
        <v>176.55029999999999</v>
      </c>
      <c r="Q218" s="4">
        <v>30.3124</v>
      </c>
      <c r="R218" s="4">
        <v>83.682080880000001</v>
      </c>
      <c r="S218" s="4">
        <v>41.530434782608694</v>
      </c>
      <c r="T218" s="16">
        <v>1.62384</v>
      </c>
      <c r="U218" s="4">
        <v>81.675399999999996</v>
      </c>
      <c r="V218" s="2">
        <v>5</v>
      </c>
      <c r="W218" s="4">
        <v>66</v>
      </c>
      <c r="X218" s="4">
        <v>40</v>
      </c>
      <c r="Y218" s="5">
        <v>5.4320987654320989</v>
      </c>
      <c r="Z218" s="5">
        <v>1.9960079840319362</v>
      </c>
      <c r="AA218" s="4">
        <v>150.79527622595029</v>
      </c>
      <c r="AB218" s="4">
        <v>113.99448088</v>
      </c>
      <c r="AC218" s="13">
        <v>1.3228296235208952</v>
      </c>
      <c r="AD218" s="13">
        <v>-36.800795345950291</v>
      </c>
      <c r="AE218" s="55">
        <v>1.0074789888190956</v>
      </c>
    </row>
    <row r="219" spans="1:31" x14ac:dyDescent="0.3">
      <c r="A219" s="47">
        <v>33140</v>
      </c>
      <c r="B219" s="80" t="s">
        <v>71</v>
      </c>
      <c r="C219" s="3" t="s">
        <v>40</v>
      </c>
      <c r="D219" s="3" t="s">
        <v>41</v>
      </c>
      <c r="E219" s="7" t="s">
        <v>38</v>
      </c>
      <c r="F219" s="50">
        <v>6</v>
      </c>
      <c r="G219" s="19">
        <v>140.26</v>
      </c>
      <c r="H219" s="6">
        <v>100</v>
      </c>
      <c r="I219" s="56">
        <v>140.26</v>
      </c>
      <c r="J219" s="19">
        <v>3.45</v>
      </c>
      <c r="K219" s="18">
        <v>4.49</v>
      </c>
      <c r="L219" s="18">
        <v>91.632653061224488</v>
      </c>
      <c r="M219" s="20">
        <v>20.6</v>
      </c>
      <c r="N219" s="20">
        <v>199.56578059999998</v>
      </c>
      <c r="O219" s="62">
        <v>11.40375889142857</v>
      </c>
      <c r="P219" s="20">
        <v>196.76920000000001</v>
      </c>
      <c r="Q219" s="20">
        <v>47.276499999999999</v>
      </c>
      <c r="R219" s="20">
        <v>95.959804300000002</v>
      </c>
      <c r="S219" s="20">
        <v>50.691560102301793</v>
      </c>
      <c r="T219" s="21">
        <v>1.9820400000000002</v>
      </c>
      <c r="U219" s="20">
        <v>92.830100000000002</v>
      </c>
      <c r="V219" s="6">
        <v>6</v>
      </c>
      <c r="W219" s="20">
        <v>66</v>
      </c>
      <c r="X219" s="20">
        <v>30.4</v>
      </c>
      <c r="Y219" s="22">
        <v>5.4320987654320989</v>
      </c>
      <c r="Z219" s="22">
        <v>1.5169660678642714</v>
      </c>
      <c r="AA219" s="20">
        <v>149.27327799682266</v>
      </c>
      <c r="AB219" s="20">
        <v>143.2363043</v>
      </c>
      <c r="AC219" s="18">
        <v>1.0421469523828162</v>
      </c>
      <c r="AD219" s="18">
        <v>-6.0369736968226562</v>
      </c>
      <c r="AE219" s="56">
        <v>0.946506717354342</v>
      </c>
    </row>
    <row r="220" spans="1:31" x14ac:dyDescent="0.3">
      <c r="A220" s="47">
        <v>33140</v>
      </c>
      <c r="B220" s="80" t="s">
        <v>71</v>
      </c>
      <c r="C220" s="3" t="s">
        <v>40</v>
      </c>
      <c r="D220" s="3" t="s">
        <v>42</v>
      </c>
      <c r="E220" s="7" t="s">
        <v>37</v>
      </c>
      <c r="F220" s="50">
        <v>7</v>
      </c>
      <c r="G220" s="19">
        <v>160.09</v>
      </c>
      <c r="H220" s="6">
        <v>100</v>
      </c>
      <c r="I220" s="56">
        <v>160.09</v>
      </c>
      <c r="J220" s="19">
        <v>3.35</v>
      </c>
      <c r="K220" s="18">
        <v>3.95</v>
      </c>
      <c r="L220" s="18">
        <v>80.612244897959187</v>
      </c>
      <c r="M220" s="20">
        <v>19.399999999999999</v>
      </c>
      <c r="N220" s="20">
        <v>186.18950059999997</v>
      </c>
      <c r="O220" s="62">
        <v>10.639400034285712</v>
      </c>
      <c r="P220" s="20">
        <v>184.06620000000001</v>
      </c>
      <c r="Q220" s="20">
        <v>48.463900000000002</v>
      </c>
      <c r="R220" s="20">
        <v>86.66041018</v>
      </c>
      <c r="S220" s="20">
        <v>51.302301790281327</v>
      </c>
      <c r="T220" s="21">
        <v>2.0059200000000001</v>
      </c>
      <c r="U220" s="20">
        <v>83.452100000000002</v>
      </c>
      <c r="V220" s="6">
        <v>7</v>
      </c>
      <c r="W220" s="20">
        <v>61.6</v>
      </c>
      <c r="X220" s="20">
        <v>31.2</v>
      </c>
      <c r="Y220" s="22">
        <v>5.0699588477366255</v>
      </c>
      <c r="Z220" s="22">
        <v>1.5568862275449105</v>
      </c>
      <c r="AA220" s="20">
        <v>138.54139176352203</v>
      </c>
      <c r="AB220" s="20">
        <v>135.12431018000001</v>
      </c>
      <c r="AC220" s="18">
        <v>1.0252884294393074</v>
      </c>
      <c r="AD220" s="18">
        <v>-3.4170815835220196</v>
      </c>
      <c r="AE220" s="56">
        <v>0.84460547729670177</v>
      </c>
    </row>
    <row r="221" spans="1:31" x14ac:dyDescent="0.3">
      <c r="A221" s="47">
        <v>33140</v>
      </c>
      <c r="B221" s="80" t="s">
        <v>71</v>
      </c>
      <c r="C221" s="3" t="s">
        <v>40</v>
      </c>
      <c r="D221" s="7" t="s">
        <v>42</v>
      </c>
      <c r="E221" s="81" t="s">
        <v>38</v>
      </c>
      <c r="F221" s="50">
        <v>8</v>
      </c>
      <c r="G221" s="19">
        <v>133.85</v>
      </c>
      <c r="H221" s="31">
        <v>100</v>
      </c>
      <c r="I221" s="56">
        <v>133.85</v>
      </c>
      <c r="J221" s="19">
        <v>3.35</v>
      </c>
      <c r="K221" s="85">
        <v>5.16</v>
      </c>
      <c r="L221" s="85">
        <v>105.30612244897959</v>
      </c>
      <c r="M221" s="86">
        <v>19.3</v>
      </c>
      <c r="N221" s="86">
        <v>185.07998914999999</v>
      </c>
      <c r="O221" s="62">
        <v>10.575999379999999</v>
      </c>
      <c r="P221" s="86">
        <v>183.84620000000001</v>
      </c>
      <c r="Q221" s="86">
        <v>53.916800000000002</v>
      </c>
      <c r="R221" s="86">
        <v>96.578392160000007</v>
      </c>
      <c r="S221" s="86">
        <v>52.320204603580557</v>
      </c>
      <c r="T221" s="87">
        <v>2.0457199999999998</v>
      </c>
      <c r="U221" s="86">
        <v>93.009100000000004</v>
      </c>
      <c r="V221" s="31">
        <v>8</v>
      </c>
      <c r="W221" s="86">
        <v>61.6</v>
      </c>
      <c r="X221" s="86">
        <v>29.6</v>
      </c>
      <c r="Y221" s="88">
        <v>5.0699588477366255</v>
      </c>
      <c r="Z221" s="88">
        <v>1.4770459081836329</v>
      </c>
      <c r="AA221" s="86">
        <v>164.17333180848041</v>
      </c>
      <c r="AB221" s="86">
        <v>150.49519216000002</v>
      </c>
      <c r="AC221" s="85">
        <v>1.0908875523009292</v>
      </c>
      <c r="AD221" s="85">
        <v>-13.678139648480396</v>
      </c>
      <c r="AE221" s="56">
        <v>0.92295503134739865</v>
      </c>
    </row>
    <row r="222" spans="1:31" x14ac:dyDescent="0.3">
      <c r="A222" s="47">
        <v>33147</v>
      </c>
      <c r="B222" s="80" t="s">
        <v>72</v>
      </c>
      <c r="C222" s="3" t="s">
        <v>40</v>
      </c>
      <c r="D222" s="81" t="s">
        <v>41</v>
      </c>
      <c r="E222" s="81" t="s">
        <v>37</v>
      </c>
      <c r="F222" s="50">
        <v>5</v>
      </c>
      <c r="G222" s="19">
        <v>122.98</v>
      </c>
      <c r="H222" s="31">
        <v>100</v>
      </c>
      <c r="I222" s="56">
        <v>122.98</v>
      </c>
      <c r="J222" s="19">
        <v>3.44</v>
      </c>
      <c r="K222" s="85">
        <v>3.84</v>
      </c>
      <c r="L222" s="85">
        <v>78.367346938775512</v>
      </c>
      <c r="M222" s="86">
        <v>19.600000000000001</v>
      </c>
      <c r="N222" s="86">
        <v>188.41091360000001</v>
      </c>
      <c r="O222" s="62">
        <v>10.766337920000002</v>
      </c>
      <c r="P222" s="86">
        <v>184.0874</v>
      </c>
      <c r="Q222" s="86">
        <v>29.912800000000001</v>
      </c>
      <c r="R222" s="86">
        <v>85.819227359999999</v>
      </c>
      <c r="S222" s="86">
        <v>45.194884910485932</v>
      </c>
      <c r="T222" s="87">
        <v>1.76712</v>
      </c>
      <c r="U222" s="86">
        <v>83.838999999999999</v>
      </c>
      <c r="V222" s="31">
        <v>5</v>
      </c>
      <c r="W222" s="86">
        <v>69.2</v>
      </c>
      <c r="X222" s="86">
        <v>44</v>
      </c>
      <c r="Y222" s="88">
        <v>5.6954732510288064</v>
      </c>
      <c r="Z222" s="88">
        <v>2.19560878243513</v>
      </c>
      <c r="AA222" s="86">
        <v>131.45331388272538</v>
      </c>
      <c r="AB222" s="86">
        <v>115.73202736</v>
      </c>
      <c r="AC222" s="85">
        <v>1.1358421422431511</v>
      </c>
      <c r="AD222" s="85">
        <v>-15.721286522725379</v>
      </c>
      <c r="AE222" s="56">
        <v>0.94943517977726477</v>
      </c>
    </row>
    <row r="223" spans="1:31" x14ac:dyDescent="0.3">
      <c r="A223" s="47">
        <v>33147</v>
      </c>
      <c r="B223" s="80" t="s">
        <v>72</v>
      </c>
      <c r="C223" s="3" t="s">
        <v>40</v>
      </c>
      <c r="D223" s="81" t="s">
        <v>41</v>
      </c>
      <c r="E223" s="7" t="s">
        <v>38</v>
      </c>
      <c r="F223" s="50">
        <v>6</v>
      </c>
      <c r="G223" s="19">
        <v>137.13999999999999</v>
      </c>
      <c r="H223" s="6">
        <v>100</v>
      </c>
      <c r="I223" s="56">
        <v>137.13999999999999</v>
      </c>
      <c r="J223" s="19">
        <v>3.43</v>
      </c>
      <c r="K223" s="18">
        <v>4.59</v>
      </c>
      <c r="L223" s="18">
        <v>93.673469387755105</v>
      </c>
      <c r="M223" s="20">
        <v>21.5</v>
      </c>
      <c r="N223" s="20">
        <v>209.67327874999998</v>
      </c>
      <c r="O223" s="62">
        <v>11.981330214285713</v>
      </c>
      <c r="P223" s="20">
        <v>205.46950000000001</v>
      </c>
      <c r="Q223" s="20">
        <v>40.922800000000002</v>
      </c>
      <c r="R223" s="20">
        <v>89.631089360000004</v>
      </c>
      <c r="S223" s="20">
        <v>50.487979539641941</v>
      </c>
      <c r="T223" s="21">
        <v>1.9740799999999998</v>
      </c>
      <c r="U223" s="20">
        <v>86.921999999999997</v>
      </c>
      <c r="V223" s="6">
        <v>6</v>
      </c>
      <c r="W223" s="20">
        <v>69.599999999999994</v>
      </c>
      <c r="X223" s="20">
        <v>35.6</v>
      </c>
      <c r="Y223" s="22">
        <v>5.7283950617283947</v>
      </c>
      <c r="Z223" s="22">
        <v>1.7764471057884232</v>
      </c>
      <c r="AA223" s="20">
        <v>151.66629109491387</v>
      </c>
      <c r="AB223" s="20">
        <v>130.55388936</v>
      </c>
      <c r="AC223" s="18">
        <v>1.1617140771401824</v>
      </c>
      <c r="AD223" s="18">
        <v>-21.112401734913874</v>
      </c>
      <c r="AE223" s="56">
        <v>0.88764781416558614</v>
      </c>
    </row>
    <row r="224" spans="1:31" x14ac:dyDescent="0.3">
      <c r="A224" s="47">
        <v>33147</v>
      </c>
      <c r="B224" s="80" t="s">
        <v>72</v>
      </c>
      <c r="C224" s="3" t="s">
        <v>40</v>
      </c>
      <c r="D224" s="7" t="s">
        <v>42</v>
      </c>
      <c r="E224" s="7" t="s">
        <v>37</v>
      </c>
      <c r="F224" s="50">
        <v>7</v>
      </c>
      <c r="G224" s="17">
        <v>151.66</v>
      </c>
      <c r="H224" s="6">
        <v>100</v>
      </c>
      <c r="I224" s="56">
        <v>151.66</v>
      </c>
      <c r="J224" s="19">
        <v>3.54</v>
      </c>
      <c r="K224" s="18">
        <v>4.13</v>
      </c>
      <c r="L224" s="18">
        <v>84.285714285714278</v>
      </c>
      <c r="M224" s="20">
        <v>20.3</v>
      </c>
      <c r="N224" s="20">
        <v>196.21095514999999</v>
      </c>
      <c r="O224" s="62">
        <v>11.21205458</v>
      </c>
      <c r="P224" s="20">
        <v>192.4051</v>
      </c>
      <c r="Q224" s="20">
        <v>42.552599999999998</v>
      </c>
      <c r="R224" s="20">
        <v>85.989382120000002</v>
      </c>
      <c r="S224" s="20">
        <v>53.134526854219942</v>
      </c>
      <c r="T224" s="21">
        <v>2.0775600000000001</v>
      </c>
      <c r="U224" s="20">
        <v>83.172399999999996</v>
      </c>
      <c r="V224" s="6">
        <v>7</v>
      </c>
      <c r="W224" s="20">
        <v>65.599999999999994</v>
      </c>
      <c r="X224" s="20">
        <v>37.200000000000003</v>
      </c>
      <c r="Y224" s="22">
        <v>5.3991769547325097</v>
      </c>
      <c r="Z224" s="22">
        <v>1.8562874251497008</v>
      </c>
      <c r="AA224" s="20">
        <v>144.6757055198164</v>
      </c>
      <c r="AB224" s="20">
        <v>128.54198212</v>
      </c>
      <c r="AC224" s="18">
        <v>1.1255132613775538</v>
      </c>
      <c r="AD224" s="18">
        <v>-16.133723399816404</v>
      </c>
      <c r="AE224" s="56">
        <v>0.80916672464140638</v>
      </c>
    </row>
    <row r="225" spans="1:31" x14ac:dyDescent="0.3">
      <c r="A225" s="47">
        <v>33147</v>
      </c>
      <c r="B225" s="80" t="s">
        <v>72</v>
      </c>
      <c r="C225" s="3" t="s">
        <v>40</v>
      </c>
      <c r="D225" s="7" t="s">
        <v>42</v>
      </c>
      <c r="E225" s="81" t="s">
        <v>38</v>
      </c>
      <c r="F225" s="50">
        <v>8</v>
      </c>
      <c r="G225" s="17">
        <v>132.93</v>
      </c>
      <c r="H225" s="31">
        <v>100</v>
      </c>
      <c r="I225" s="56">
        <v>132.93</v>
      </c>
      <c r="J225" s="19">
        <v>3.45</v>
      </c>
      <c r="K225" s="85">
        <v>4.87</v>
      </c>
      <c r="L225" s="85">
        <v>99.387755102040813</v>
      </c>
      <c r="M225" s="86">
        <v>20.3</v>
      </c>
      <c r="N225" s="86">
        <v>196.21095514999999</v>
      </c>
      <c r="O225" s="62">
        <v>11.21205458</v>
      </c>
      <c r="P225" s="86">
        <v>192.6371</v>
      </c>
      <c r="Q225" s="86">
        <v>48.451700000000002</v>
      </c>
      <c r="R225" s="86">
        <v>92.879102539999991</v>
      </c>
      <c r="S225" s="86">
        <v>52.116624040920712</v>
      </c>
      <c r="T225" s="87">
        <v>2.03776</v>
      </c>
      <c r="U225" s="86">
        <v>89.671599999999998</v>
      </c>
      <c r="V225" s="31">
        <v>8</v>
      </c>
      <c r="W225" s="86">
        <v>63.6</v>
      </c>
      <c r="X225" s="86">
        <v>34</v>
      </c>
      <c r="Y225" s="88">
        <v>5.2345679012345681</v>
      </c>
      <c r="Z225" s="88">
        <v>1.6966067864271457</v>
      </c>
      <c r="AA225" s="86">
        <v>158.43555383062321</v>
      </c>
      <c r="AB225" s="86">
        <v>141.33080253999998</v>
      </c>
      <c r="AC225" s="85">
        <v>1.1210263508252716</v>
      </c>
      <c r="AD225" s="85">
        <v>-17.104751290623227</v>
      </c>
      <c r="AE225" s="56">
        <v>0.8910698289577772</v>
      </c>
    </row>
    <row r="226" spans="1:31" ht="15" thickBot="1" x14ac:dyDescent="0.35">
      <c r="A226" s="47">
        <v>33098</v>
      </c>
      <c r="B226" s="80" t="s">
        <v>65</v>
      </c>
      <c r="C226" s="3"/>
      <c r="D226" s="81" t="s">
        <v>38</v>
      </c>
      <c r="E226" s="32"/>
      <c r="F226" s="51">
        <v>19</v>
      </c>
      <c r="G226" s="39">
        <v>249.73</v>
      </c>
      <c r="H226" s="33">
        <v>194</v>
      </c>
      <c r="I226" s="58">
        <v>128.72680412371133</v>
      </c>
      <c r="J226" s="41">
        <v>3.04</v>
      </c>
      <c r="K226" s="40">
        <v>8.57</v>
      </c>
      <c r="L226" s="40">
        <v>174.89795918367349</v>
      </c>
      <c r="M226" s="42">
        <v>14.2</v>
      </c>
      <c r="N226" s="42">
        <v>129.55132939999999</v>
      </c>
      <c r="O226" s="64">
        <v>7.6206664352941171</v>
      </c>
      <c r="P226" s="42">
        <v>135.2568</v>
      </c>
      <c r="Q226" s="42">
        <v>91.294200000000004</v>
      </c>
      <c r="R226" s="42">
        <v>114.22737604</v>
      </c>
      <c r="S226" s="42">
        <v>38.883887468030686</v>
      </c>
      <c r="T226" s="43">
        <v>1.5203599999999999</v>
      </c>
      <c r="U226" s="42">
        <v>108.1837</v>
      </c>
      <c r="V226" s="33">
        <v>19</v>
      </c>
      <c r="W226" s="42">
        <v>47.2</v>
      </c>
      <c r="X226" s="42">
        <v>65.599999999999994</v>
      </c>
      <c r="Y226" s="44">
        <v>3.88477366255144</v>
      </c>
      <c r="Z226" s="44">
        <v>3.2734530938123751</v>
      </c>
      <c r="AA226" s="42">
        <v>220.940073408068</v>
      </c>
      <c r="AB226" s="42">
        <v>205.52157604000001</v>
      </c>
      <c r="AC226" s="40">
        <v>1.0750213075685404</v>
      </c>
      <c r="AD226" s="40">
        <v>-15.418497368067989</v>
      </c>
      <c r="AE226" s="58">
        <v>1.4688265947420349</v>
      </c>
    </row>
    <row r="227" spans="1:31" ht="15" thickTop="1" x14ac:dyDescent="0.3">
      <c r="A227" s="47">
        <v>33133</v>
      </c>
      <c r="B227" s="80" t="s">
        <v>70</v>
      </c>
      <c r="C227" s="3" t="s">
        <v>56</v>
      </c>
      <c r="D227" s="3"/>
      <c r="E227" s="3">
        <v>3309</v>
      </c>
      <c r="F227" s="49">
        <v>21</v>
      </c>
      <c r="G227" s="15">
        <v>499.16</v>
      </c>
      <c r="H227" s="2">
        <v>308</v>
      </c>
      <c r="I227" s="55">
        <v>162.06493506493507</v>
      </c>
      <c r="J227" s="15">
        <v>3.34</v>
      </c>
      <c r="K227" s="13">
        <v>3.64</v>
      </c>
      <c r="L227" s="13">
        <v>74.285714285714292</v>
      </c>
      <c r="M227" s="4">
        <v>19.600000000000001</v>
      </c>
      <c r="N227" s="4">
        <v>188.41091360000001</v>
      </c>
      <c r="O227" s="61">
        <v>11.08299491764706</v>
      </c>
      <c r="P227" s="4">
        <v>186.64009999999999</v>
      </c>
      <c r="Q227" s="4">
        <v>18.445499999999999</v>
      </c>
      <c r="R227" s="4">
        <v>85.372892100000001</v>
      </c>
      <c r="S227" s="4">
        <v>36.848081841432226</v>
      </c>
      <c r="T227" s="16">
        <v>1.44076</v>
      </c>
      <c r="U227" s="4">
        <v>84.151799999999994</v>
      </c>
      <c r="V227" s="2">
        <v>21</v>
      </c>
      <c r="W227" s="4">
        <v>54.4</v>
      </c>
      <c r="X227" s="4">
        <v>46.8</v>
      </c>
      <c r="Y227" s="5">
        <v>4.477366255144033</v>
      </c>
      <c r="Z227" s="5">
        <v>2.3353293413173652</v>
      </c>
      <c r="AA227" s="4">
        <v>117.94649172360792</v>
      </c>
      <c r="AB227" s="4">
        <v>103.8183921</v>
      </c>
      <c r="AC227" s="13">
        <v>1.1360847470070567</v>
      </c>
      <c r="AD227" s="13">
        <v>-14.128099623607923</v>
      </c>
      <c r="AE227" s="55">
        <v>1.1584441826223659</v>
      </c>
    </row>
    <row r="228" spans="1:31" x14ac:dyDescent="0.3">
      <c r="A228" s="47">
        <v>33126</v>
      </c>
      <c r="B228" s="80" t="s">
        <v>69</v>
      </c>
      <c r="C228" s="3" t="s">
        <v>58</v>
      </c>
      <c r="D228" s="3" t="s">
        <v>54</v>
      </c>
      <c r="E228" s="81"/>
      <c r="F228" s="50">
        <v>22</v>
      </c>
      <c r="G228" s="17">
        <v>436.1</v>
      </c>
      <c r="H228" s="31">
        <v>287</v>
      </c>
      <c r="I228" s="56">
        <v>151.95121951219511</v>
      </c>
      <c r="J228" s="19">
        <v>3.56</v>
      </c>
      <c r="K228" s="85">
        <v>3.73</v>
      </c>
      <c r="L228" s="85">
        <v>76.122448979591837</v>
      </c>
      <c r="M228" s="86">
        <v>21.8</v>
      </c>
      <c r="N228" s="86">
        <v>213.0567854</v>
      </c>
      <c r="O228" s="62">
        <v>12.174673451428571</v>
      </c>
      <c r="P228" s="86">
        <v>209.48609999999999</v>
      </c>
      <c r="Q228" s="86">
        <v>21.998899999999999</v>
      </c>
      <c r="R228" s="86">
        <v>94.991927180000005</v>
      </c>
      <c r="S228" s="86">
        <v>50.895140664961637</v>
      </c>
      <c r="T228" s="87">
        <v>1.99</v>
      </c>
      <c r="U228" s="86">
        <v>93.535600000000002</v>
      </c>
      <c r="V228" s="31">
        <v>22</v>
      </c>
      <c r="W228" s="86">
        <v>70</v>
      </c>
      <c r="X228" s="86">
        <v>74.8</v>
      </c>
      <c r="Y228" s="88">
        <v>5.7613168724279831</v>
      </c>
      <c r="Z228" s="88">
        <v>3.7325349301397215</v>
      </c>
      <c r="AA228" s="86">
        <v>136.5114414471212</v>
      </c>
      <c r="AB228" s="86">
        <v>116.99082718</v>
      </c>
      <c r="AC228" s="85">
        <v>1.1668559385180441</v>
      </c>
      <c r="AD228" s="85">
        <v>-19.520614267121204</v>
      </c>
      <c r="AE228" s="56">
        <v>0.93321214892914572</v>
      </c>
    </row>
    <row r="229" spans="1:31" x14ac:dyDescent="0.3">
      <c r="A229" s="47">
        <v>33133</v>
      </c>
      <c r="B229" s="80" t="s">
        <v>70</v>
      </c>
      <c r="C229" s="3" t="s">
        <v>58</v>
      </c>
      <c r="D229" s="81" t="s">
        <v>54</v>
      </c>
      <c r="E229" s="81"/>
      <c r="F229" s="50">
        <v>22</v>
      </c>
      <c r="G229" s="19">
        <v>421.22</v>
      </c>
      <c r="H229" s="31">
        <v>281</v>
      </c>
      <c r="I229" s="56">
        <v>149.90035587188612</v>
      </c>
      <c r="J229" s="19">
        <v>3.54</v>
      </c>
      <c r="K229" s="85">
        <v>3.51</v>
      </c>
      <c r="L229" s="85">
        <v>71.632653061224488</v>
      </c>
      <c r="M229" s="86">
        <v>22.7</v>
      </c>
      <c r="N229" s="86">
        <v>223.25032715000003</v>
      </c>
      <c r="O229" s="62">
        <v>12.757161551428574</v>
      </c>
      <c r="P229" s="86">
        <v>218.49809999999999</v>
      </c>
      <c r="Q229" s="86">
        <v>18.674499999999998</v>
      </c>
      <c r="R229" s="86">
        <v>91.229051900000002</v>
      </c>
      <c r="S229" s="86">
        <v>50.895140664961637</v>
      </c>
      <c r="T229" s="87">
        <v>1.99</v>
      </c>
      <c r="U229" s="86">
        <v>89.992800000000003</v>
      </c>
      <c r="V229" s="31">
        <v>22</v>
      </c>
      <c r="W229" s="86">
        <v>75.2</v>
      </c>
      <c r="X229" s="86">
        <v>81.2</v>
      </c>
      <c r="Y229" s="88">
        <v>6.1893004115226322</v>
      </c>
      <c r="Z229" s="88">
        <v>4.0518962075848304</v>
      </c>
      <c r="AA229" s="86">
        <v>132.76899034529359</v>
      </c>
      <c r="AB229" s="86">
        <v>109.9035519</v>
      </c>
      <c r="AC229" s="85">
        <v>1.2080500406947594</v>
      </c>
      <c r="AD229" s="85">
        <v>-22.865438445293591</v>
      </c>
      <c r="AE229" s="56">
        <v>0.89624520836432164</v>
      </c>
    </row>
    <row r="230" spans="1:31" x14ac:dyDescent="0.3">
      <c r="A230" s="47">
        <v>33112</v>
      </c>
      <c r="B230" s="80" t="s">
        <v>67</v>
      </c>
      <c r="C230" s="3" t="s">
        <v>53</v>
      </c>
      <c r="D230" s="81" t="s">
        <v>54</v>
      </c>
      <c r="E230" s="23"/>
      <c r="F230" s="52">
        <v>22</v>
      </c>
      <c r="G230" s="25">
        <v>439.5</v>
      </c>
      <c r="H230" s="24">
        <v>311</v>
      </c>
      <c r="I230" s="57">
        <v>141.31832797427651</v>
      </c>
      <c r="J230" s="27">
        <v>3.32</v>
      </c>
      <c r="K230" s="26">
        <v>4.76</v>
      </c>
      <c r="L230" s="26">
        <v>97.142857142857139</v>
      </c>
      <c r="M230" s="28">
        <v>19.2</v>
      </c>
      <c r="N230" s="28">
        <v>183.9712744</v>
      </c>
      <c r="O230" s="63">
        <v>10.512644251428572</v>
      </c>
      <c r="P230" s="28">
        <v>184.43279999999999</v>
      </c>
      <c r="Q230" s="28">
        <v>33.508299999999998</v>
      </c>
      <c r="R230" s="28">
        <v>111.15174945999999</v>
      </c>
      <c r="S230" s="28">
        <v>49.673657289002556</v>
      </c>
      <c r="T230" s="29">
        <v>1.94224</v>
      </c>
      <c r="U230" s="28">
        <v>108.9335</v>
      </c>
      <c r="V230" s="24">
        <v>22</v>
      </c>
      <c r="W230" s="28">
        <v>64.8</v>
      </c>
      <c r="X230" s="28">
        <v>81.2</v>
      </c>
      <c r="Y230" s="30">
        <v>5.3333333333333339</v>
      </c>
      <c r="Z230" s="30">
        <v>4.0518962075848304</v>
      </c>
      <c r="AA230" s="28">
        <v>156.20174397277788</v>
      </c>
      <c r="AB230" s="28">
        <v>144.66004945999998</v>
      </c>
      <c r="AC230" s="26">
        <v>1.079784947923506</v>
      </c>
      <c r="AD230" s="26">
        <v>-11.541694512777894</v>
      </c>
      <c r="AE230" s="57">
        <v>1.1188198687819217</v>
      </c>
    </row>
    <row r="231" spans="1:31" x14ac:dyDescent="0.3">
      <c r="A231" s="47">
        <v>33119</v>
      </c>
      <c r="B231" s="80" t="s">
        <v>68</v>
      </c>
      <c r="C231" s="81" t="s">
        <v>53</v>
      </c>
      <c r="D231" s="81" t="s">
        <v>54</v>
      </c>
      <c r="E231" s="81"/>
      <c r="F231" s="50">
        <v>22</v>
      </c>
      <c r="G231" s="17">
        <v>619.82000000000005</v>
      </c>
      <c r="H231" s="31">
        <v>434</v>
      </c>
      <c r="I231" s="56">
        <v>142.81566820276498</v>
      </c>
      <c r="J231" s="19">
        <v>3.48</v>
      </c>
      <c r="K231" s="85">
        <v>3.89</v>
      </c>
      <c r="L231" s="85">
        <v>79.387755102040828</v>
      </c>
      <c r="M231" s="86">
        <v>20.6</v>
      </c>
      <c r="N231" s="86">
        <v>199.56578059999998</v>
      </c>
      <c r="O231" s="62">
        <v>11.40375889142857</v>
      </c>
      <c r="P231" s="86">
        <v>198.29259999999999</v>
      </c>
      <c r="Q231" s="86">
        <v>27.9147</v>
      </c>
      <c r="R231" s="86">
        <v>102.46805313999999</v>
      </c>
      <c r="S231" s="86">
        <v>51.91304347826086</v>
      </c>
      <c r="T231" s="87">
        <v>2.0297999999999998</v>
      </c>
      <c r="U231" s="86">
        <v>100.62009999999999</v>
      </c>
      <c r="V231" s="31">
        <v>22</v>
      </c>
      <c r="W231" s="86">
        <v>67.599999999999994</v>
      </c>
      <c r="X231" s="86">
        <v>68.8</v>
      </c>
      <c r="Y231" s="88">
        <v>5.5637860082304522</v>
      </c>
      <c r="Z231" s="88">
        <v>3.4331337325349303</v>
      </c>
      <c r="AA231" s="86">
        <v>140.29771832106709</v>
      </c>
      <c r="AB231" s="86">
        <v>130.38275314000001</v>
      </c>
      <c r="AC231" s="85">
        <v>1.0760450668687811</v>
      </c>
      <c r="AD231" s="85">
        <v>-9.9149651810670889</v>
      </c>
      <c r="AE231" s="56">
        <v>0.98692010980737033</v>
      </c>
    </row>
  </sheetData>
  <sortState ref="A4:AE231">
    <sortCondition descending="1" ref="C4:C2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8"/>
  <sheetViews>
    <sheetView topLeftCell="A175" workbookViewId="0">
      <selection activeCell="AE198" sqref="A1:AE198"/>
    </sheetView>
  </sheetViews>
  <sheetFormatPr baseColWidth="10" defaultRowHeight="14.4" outlineLevelRow="3" x14ac:dyDescent="0.3"/>
  <cols>
    <col min="1" max="1" width="5.44140625" bestFit="1" customWidth="1"/>
    <col min="2" max="2" width="3.21875" bestFit="1" customWidth="1"/>
    <col min="3" max="3" width="4.88671875" bestFit="1" customWidth="1"/>
    <col min="4" max="4" width="3.5546875" bestFit="1" customWidth="1"/>
    <col min="5" max="5" width="1.44140625" bestFit="1" customWidth="1"/>
    <col min="6" max="6" width="2.109375" bestFit="1" customWidth="1"/>
    <col min="7" max="7" width="4.44140625" bestFit="1" customWidth="1"/>
    <col min="8" max="8" width="3.5546875" bestFit="1" customWidth="1"/>
    <col min="9" max="9" width="5.5546875" bestFit="1" customWidth="1"/>
    <col min="10" max="10" width="3.109375" bestFit="1" customWidth="1"/>
    <col min="11" max="11" width="5.21875" bestFit="1" customWidth="1"/>
    <col min="12" max="12" width="4.44140625" bestFit="1" customWidth="1"/>
    <col min="13" max="13" width="4.33203125" bestFit="1" customWidth="1"/>
    <col min="14" max="14" width="4.88671875" bestFit="1" customWidth="1"/>
    <col min="15" max="15" width="5.33203125" bestFit="1" customWidth="1"/>
    <col min="16" max="16" width="4.44140625" bestFit="1" customWidth="1"/>
    <col min="17" max="17" width="4.77734375" bestFit="1" customWidth="1"/>
    <col min="18" max="18" width="4.33203125" bestFit="1" customWidth="1"/>
    <col min="19" max="19" width="3.5546875" bestFit="1" customWidth="1"/>
    <col min="20" max="20" width="3.77734375" bestFit="1" customWidth="1"/>
    <col min="21" max="21" width="4.33203125" bestFit="1" customWidth="1"/>
    <col min="22" max="22" width="2.109375" bestFit="1" customWidth="1"/>
    <col min="23" max="23" width="3.109375" bestFit="1" customWidth="1"/>
    <col min="24" max="26" width="3.5546875" bestFit="1" customWidth="1"/>
    <col min="27" max="27" width="4.44140625" bestFit="1" customWidth="1"/>
    <col min="28" max="28" width="4.88671875" bestFit="1" customWidth="1"/>
    <col min="29" max="29" width="3.109375" bestFit="1" customWidth="1"/>
    <col min="30" max="30" width="8.6640625" bestFit="1" customWidth="1"/>
    <col min="31" max="31" width="3.88671875" bestFit="1" customWidth="1"/>
  </cols>
  <sheetData>
    <row r="1" spans="1:31" ht="15" thickTop="1" x14ac:dyDescent="0.3">
      <c r="A1" s="65"/>
      <c r="B1" s="77"/>
      <c r="C1" s="66"/>
      <c r="D1" s="67"/>
      <c r="E1" s="66"/>
      <c r="F1" s="68"/>
      <c r="G1" s="69" t="s">
        <v>0</v>
      </c>
      <c r="H1" s="67" t="s">
        <v>1</v>
      </c>
      <c r="I1" s="70" t="s">
        <v>0</v>
      </c>
      <c r="J1" s="69" t="s">
        <v>2</v>
      </c>
      <c r="K1" s="71" t="s">
        <v>3</v>
      </c>
      <c r="L1" s="71" t="s">
        <v>4</v>
      </c>
      <c r="M1" s="72" t="s">
        <v>5</v>
      </c>
      <c r="N1" s="72" t="s">
        <v>6</v>
      </c>
      <c r="O1" s="73" t="s">
        <v>7</v>
      </c>
      <c r="P1" s="72" t="s">
        <v>6</v>
      </c>
      <c r="Q1" s="72"/>
      <c r="R1" s="72" t="s">
        <v>8</v>
      </c>
      <c r="S1" s="72"/>
      <c r="T1" s="74"/>
      <c r="U1" s="72" t="s">
        <v>8</v>
      </c>
      <c r="V1" s="66"/>
      <c r="W1" s="75"/>
      <c r="X1" s="75"/>
      <c r="Y1" s="76"/>
      <c r="Z1" s="76"/>
      <c r="AA1" s="72" t="s">
        <v>9</v>
      </c>
      <c r="AB1" s="72" t="s">
        <v>10</v>
      </c>
      <c r="AC1" s="71"/>
      <c r="AD1" s="71" t="s">
        <v>11</v>
      </c>
      <c r="AE1" s="70" t="s">
        <v>12</v>
      </c>
    </row>
    <row r="2" spans="1:31" x14ac:dyDescent="0.3">
      <c r="A2" s="45"/>
      <c r="B2" s="78"/>
      <c r="C2" s="6"/>
      <c r="D2" s="1"/>
      <c r="E2" s="6"/>
      <c r="F2" s="1"/>
      <c r="G2" s="8" t="s">
        <v>13</v>
      </c>
      <c r="H2" s="7" t="s">
        <v>13</v>
      </c>
      <c r="I2" s="53" t="s">
        <v>14</v>
      </c>
      <c r="J2" s="8"/>
      <c r="K2" s="9" t="s">
        <v>15</v>
      </c>
      <c r="L2" s="9" t="s">
        <v>16</v>
      </c>
      <c r="M2" s="10" t="s">
        <v>17</v>
      </c>
      <c r="N2" s="10" t="s">
        <v>18</v>
      </c>
      <c r="O2" s="59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1" t="s">
        <v>23</v>
      </c>
      <c r="U2" s="10" t="s">
        <v>24</v>
      </c>
      <c r="V2" s="1"/>
      <c r="W2" s="10" t="s">
        <v>25</v>
      </c>
      <c r="X2" s="10" t="s">
        <v>26</v>
      </c>
      <c r="Y2" s="12" t="s">
        <v>25</v>
      </c>
      <c r="Z2" s="12" t="s">
        <v>26</v>
      </c>
      <c r="AA2" s="10" t="s">
        <v>27</v>
      </c>
      <c r="AB2" s="10"/>
      <c r="AC2" s="9"/>
      <c r="AD2" s="9" t="s">
        <v>28</v>
      </c>
      <c r="AE2" s="53" t="s">
        <v>29</v>
      </c>
    </row>
    <row r="3" spans="1:31" ht="15" thickBot="1" x14ac:dyDescent="0.35">
      <c r="A3" s="46" t="s">
        <v>59</v>
      </c>
      <c r="B3" s="79" t="s">
        <v>60</v>
      </c>
      <c r="C3" s="32" t="s">
        <v>74</v>
      </c>
      <c r="D3" s="32" t="s">
        <v>75</v>
      </c>
      <c r="E3" s="32"/>
      <c r="F3" s="51"/>
      <c r="G3" s="34" t="s">
        <v>30</v>
      </c>
      <c r="H3" s="32"/>
      <c r="I3" s="54" t="s">
        <v>30</v>
      </c>
      <c r="J3" s="34"/>
      <c r="K3" s="35" t="s">
        <v>31</v>
      </c>
      <c r="L3" s="35"/>
      <c r="M3" s="36"/>
      <c r="N3" s="36" t="s">
        <v>31</v>
      </c>
      <c r="O3" s="60"/>
      <c r="P3" s="36" t="s">
        <v>31</v>
      </c>
      <c r="Q3" s="36" t="s">
        <v>16</v>
      </c>
      <c r="R3" s="36" t="s">
        <v>16</v>
      </c>
      <c r="S3" s="36" t="s">
        <v>16</v>
      </c>
      <c r="T3" s="37" t="s">
        <v>31</v>
      </c>
      <c r="U3" s="36" t="s">
        <v>16</v>
      </c>
      <c r="V3" s="33"/>
      <c r="W3" s="36" t="s">
        <v>32</v>
      </c>
      <c r="X3" s="36" t="s">
        <v>32</v>
      </c>
      <c r="Y3" s="38" t="s">
        <v>16</v>
      </c>
      <c r="Z3" s="38" t="s">
        <v>16</v>
      </c>
      <c r="AA3" s="36" t="s">
        <v>16</v>
      </c>
      <c r="AB3" s="36" t="s">
        <v>16</v>
      </c>
      <c r="AC3" s="35" t="s">
        <v>33</v>
      </c>
      <c r="AD3" s="35" t="s">
        <v>16</v>
      </c>
      <c r="AE3" s="54" t="s">
        <v>34</v>
      </c>
    </row>
    <row r="4" spans="1:31" ht="15" outlineLevel="3" thickTop="1" x14ac:dyDescent="0.3">
      <c r="A4" s="47">
        <v>33070</v>
      </c>
      <c r="B4" s="80" t="s">
        <v>61</v>
      </c>
      <c r="C4" s="7" t="s">
        <v>43</v>
      </c>
      <c r="D4" s="7" t="s">
        <v>44</v>
      </c>
      <c r="E4" s="7" t="s">
        <v>45</v>
      </c>
      <c r="F4" s="50">
        <v>9</v>
      </c>
      <c r="G4" s="17">
        <v>107.85</v>
      </c>
      <c r="H4" s="6">
        <v>169</v>
      </c>
      <c r="I4" s="56">
        <v>63.816568047337277</v>
      </c>
      <c r="J4" s="19">
        <v>2.52</v>
      </c>
      <c r="K4" s="18">
        <v>23.86</v>
      </c>
      <c r="L4" s="18">
        <v>486.9387755102041</v>
      </c>
      <c r="M4" s="20">
        <v>4</v>
      </c>
      <c r="N4" s="20">
        <v>24.710659999999997</v>
      </c>
      <c r="O4" s="62">
        <v>1.4120377142857141</v>
      </c>
      <c r="P4" s="20">
        <v>6.3525</v>
      </c>
      <c r="Q4" s="20">
        <v>417.2</v>
      </c>
      <c r="R4" s="20">
        <v>149.89563999999999</v>
      </c>
      <c r="S4" s="20">
        <v>14.454219948849104</v>
      </c>
      <c r="T4" s="21">
        <v>0.56516</v>
      </c>
      <c r="U4" s="20">
        <v>122.277</v>
      </c>
      <c r="V4" s="6">
        <v>9</v>
      </c>
      <c r="W4" s="20">
        <v>32</v>
      </c>
      <c r="X4" s="20">
        <v>72</v>
      </c>
      <c r="Y4" s="22">
        <v>2.6337448559670782</v>
      </c>
      <c r="Z4" s="22">
        <v>3.5928143712574854</v>
      </c>
      <c r="AA4" s="20">
        <v>507.61955468627775</v>
      </c>
      <c r="AB4" s="20">
        <v>567.09564</v>
      </c>
      <c r="AC4" s="18">
        <v>0.89512159657280688</v>
      </c>
      <c r="AD4" s="18">
        <v>59.476085313722251</v>
      </c>
      <c r="AE4" s="56">
        <v>5.1851860747398968</v>
      </c>
    </row>
    <row r="5" spans="1:31" outlineLevel="3" x14ac:dyDescent="0.3">
      <c r="A5" s="47">
        <v>33070</v>
      </c>
      <c r="B5" s="80" t="s">
        <v>61</v>
      </c>
      <c r="C5" s="7" t="s">
        <v>43</v>
      </c>
      <c r="D5" s="7" t="s">
        <v>44</v>
      </c>
      <c r="E5" s="7" t="s">
        <v>46</v>
      </c>
      <c r="F5" s="50">
        <v>10</v>
      </c>
      <c r="G5" s="17">
        <v>119.2</v>
      </c>
      <c r="H5" s="6">
        <v>173</v>
      </c>
      <c r="I5" s="56">
        <v>68.901734104046241</v>
      </c>
      <c r="J5" s="19">
        <v>2.5099999999999998</v>
      </c>
      <c r="K5" s="18">
        <v>24.23</v>
      </c>
      <c r="L5" s="18">
        <v>494.48979591836735</v>
      </c>
      <c r="M5" s="20">
        <v>4</v>
      </c>
      <c r="N5" s="20">
        <v>24.710659999999997</v>
      </c>
      <c r="O5" s="62">
        <v>1.4120377142857141</v>
      </c>
      <c r="P5" s="20">
        <v>6.7</v>
      </c>
      <c r="Q5" s="20">
        <v>478.5</v>
      </c>
      <c r="R5" s="20">
        <v>158.42160000000001</v>
      </c>
      <c r="S5" s="20">
        <v>15.472122762148338</v>
      </c>
      <c r="T5" s="21">
        <v>0.60496000000000005</v>
      </c>
      <c r="U5" s="20">
        <v>126.7449</v>
      </c>
      <c r="V5" s="6">
        <v>10</v>
      </c>
      <c r="W5" s="20">
        <v>29.2</v>
      </c>
      <c r="X5" s="20">
        <v>66.8</v>
      </c>
      <c r="Y5" s="22">
        <v>2.4032921810699586</v>
      </c>
      <c r="Z5" s="22">
        <v>3.3333333333333335</v>
      </c>
      <c r="AA5" s="20">
        <v>515.69854419491901</v>
      </c>
      <c r="AB5" s="20">
        <v>636.92160000000001</v>
      </c>
      <c r="AC5" s="18">
        <v>0.80967350486295175</v>
      </c>
      <c r="AD5" s="18">
        <v>121.223055805081</v>
      </c>
      <c r="AE5" s="56">
        <v>5.1195819227717534</v>
      </c>
    </row>
    <row r="6" spans="1:31" outlineLevel="3" x14ac:dyDescent="0.3">
      <c r="A6" s="47">
        <v>33070</v>
      </c>
      <c r="B6" s="80" t="s">
        <v>61</v>
      </c>
      <c r="C6" s="7" t="s">
        <v>43</v>
      </c>
      <c r="D6" s="7" t="s">
        <v>44</v>
      </c>
      <c r="E6" s="23" t="s">
        <v>47</v>
      </c>
      <c r="F6" s="52">
        <v>11</v>
      </c>
      <c r="G6" s="25">
        <v>127.5</v>
      </c>
      <c r="H6" s="24">
        <v>188</v>
      </c>
      <c r="I6" s="57">
        <v>67.819148936170208</v>
      </c>
      <c r="J6" s="27">
        <v>2.5099999999999998</v>
      </c>
      <c r="K6" s="26">
        <v>24.34</v>
      </c>
      <c r="L6" s="26">
        <v>496.73469387755102</v>
      </c>
      <c r="M6" s="28">
        <v>4</v>
      </c>
      <c r="N6" s="28">
        <v>24.710659999999997</v>
      </c>
      <c r="O6" s="63">
        <v>1.4120377142857141</v>
      </c>
      <c r="P6" s="28">
        <v>6.2424999999999997</v>
      </c>
      <c r="Q6" s="28">
        <v>412.55</v>
      </c>
      <c r="R6" s="28">
        <v>158.61090999999999</v>
      </c>
      <c r="S6" s="28">
        <v>17.100767263427109</v>
      </c>
      <c r="T6" s="29">
        <v>0.66864000000000001</v>
      </c>
      <c r="U6" s="28">
        <v>131.30009999999999</v>
      </c>
      <c r="V6" s="24">
        <v>11</v>
      </c>
      <c r="W6" s="28">
        <v>30.8</v>
      </c>
      <c r="X6" s="28">
        <v>68.8</v>
      </c>
      <c r="Y6" s="30">
        <v>2.5349794238683128</v>
      </c>
      <c r="Z6" s="30">
        <v>3.4331337325349303</v>
      </c>
      <c r="AA6" s="28">
        <v>519.80357429738137</v>
      </c>
      <c r="AB6" s="28">
        <v>571.16091000000006</v>
      </c>
      <c r="AC6" s="26">
        <v>0.91008254450988479</v>
      </c>
      <c r="AD6" s="26">
        <v>51.357335702618684</v>
      </c>
      <c r="AE6" s="57">
        <v>4.6375378237915772</v>
      </c>
    </row>
    <row r="7" spans="1:31" outlineLevel="2" x14ac:dyDescent="0.3">
      <c r="A7" s="47">
        <v>33070</v>
      </c>
      <c r="B7" s="80" t="s">
        <v>61</v>
      </c>
      <c r="C7" s="7"/>
      <c r="D7" s="98" t="s">
        <v>79</v>
      </c>
      <c r="E7" s="81"/>
      <c r="F7" s="50"/>
      <c r="G7" s="17">
        <f>SUBTOTAL(1,G4:G6)</f>
        <v>118.18333333333334</v>
      </c>
      <c r="H7" s="31">
        <f>SUBTOTAL(1,H4:H6)</f>
        <v>176.66666666666666</v>
      </c>
      <c r="I7" s="56">
        <f>SUBTOTAL(1,I4:I6)</f>
        <v>66.845817029184573</v>
      </c>
      <c r="J7" s="19">
        <f>SUBTOTAL(1,J4:J6)</f>
        <v>2.5133333333333332</v>
      </c>
      <c r="K7" s="85">
        <f>SUBTOTAL(1,K4:K6)</f>
        <v>24.143333333333334</v>
      </c>
      <c r="L7" s="85">
        <f>SUBTOTAL(1,L4:L6)</f>
        <v>492.72108843537416</v>
      </c>
      <c r="M7" s="86">
        <f>SUBTOTAL(1,M4:M6)</f>
        <v>4</v>
      </c>
      <c r="N7" s="86">
        <f>SUBTOTAL(1,N4:N6)</f>
        <v>24.710660000000001</v>
      </c>
      <c r="O7" s="62">
        <f>SUBTOTAL(1,O4:O6)</f>
        <v>1.4120377142857141</v>
      </c>
      <c r="P7" s="86">
        <f>SUBTOTAL(1,P4:P6)</f>
        <v>6.4316666666666675</v>
      </c>
      <c r="Q7" s="86">
        <f>SUBTOTAL(1,Q4:Q6)</f>
        <v>436.08333333333331</v>
      </c>
      <c r="R7" s="86">
        <f>SUBTOTAL(1,R4:R6)</f>
        <v>155.64271666666664</v>
      </c>
      <c r="S7" s="86">
        <f>SUBTOTAL(1,S4:S6)</f>
        <v>15.675703324808183</v>
      </c>
      <c r="T7" s="87">
        <f>SUBTOTAL(1,T4:T6)</f>
        <v>0.61292000000000002</v>
      </c>
      <c r="U7" s="86">
        <f>SUBTOTAL(1,U4:U6)</f>
        <v>126.774</v>
      </c>
      <c r="V7" s="31">
        <f>SUBTOTAL(1,V4:V6)</f>
        <v>10</v>
      </c>
      <c r="W7" s="86">
        <f>SUBTOTAL(1,W4:W6)</f>
        <v>30.666666666666668</v>
      </c>
      <c r="X7" s="86">
        <f>SUBTOTAL(1,X4:X6)</f>
        <v>69.2</v>
      </c>
      <c r="Y7" s="88">
        <f>SUBTOTAL(1,Y4:Y6)</f>
        <v>2.5240054869684498</v>
      </c>
      <c r="Z7" s="88">
        <f>SUBTOTAL(1,Z4:Z6)</f>
        <v>3.4530938123752493</v>
      </c>
      <c r="AA7" s="86">
        <f>SUBTOTAL(1,AA4:AA6)</f>
        <v>514.37389105952604</v>
      </c>
      <c r="AB7" s="86">
        <f>SUBTOTAL(1,AB4:AB6)</f>
        <v>591.7260500000001</v>
      </c>
      <c r="AC7" s="85">
        <f>SUBTOTAL(1,AC4:AC6)</f>
        <v>0.87162588198188118</v>
      </c>
      <c r="AD7" s="85">
        <f>SUBTOTAL(1,AD4:AD6)</f>
        <v>77.352158940473984</v>
      </c>
      <c r="AE7" s="56">
        <f>SUBTOTAL(1,AE4:AE6)</f>
        <v>4.9807686071010755</v>
      </c>
    </row>
    <row r="8" spans="1:31" outlineLevel="1" x14ac:dyDescent="0.3">
      <c r="A8" s="47">
        <v>33070</v>
      </c>
      <c r="B8" s="80" t="s">
        <v>61</v>
      </c>
      <c r="C8" s="7"/>
      <c r="D8" s="89" t="s">
        <v>76</v>
      </c>
      <c r="E8" s="81"/>
      <c r="F8" s="50"/>
      <c r="G8" s="90">
        <f>SUBTOTAL(7,G4:G6)</f>
        <v>9.864371917833056</v>
      </c>
      <c r="H8" s="31">
        <f>SUBTOTAL(7,H4:H6)</f>
        <v>10.016652800877813</v>
      </c>
      <c r="I8" s="91">
        <f>SUBTOTAL(7,I4:I6)</f>
        <v>2.6786675245247338</v>
      </c>
      <c r="J8" s="92">
        <f>SUBTOTAL(7,J4:J6)</f>
        <v>5.7735026918963907E-3</v>
      </c>
      <c r="K8" s="93">
        <f>SUBTOTAL(7,K4:K6)</f>
        <v>0.25146238950056427</v>
      </c>
      <c r="L8" s="93">
        <f>SUBTOTAL(7,L4:L6)</f>
        <v>5.1318855000115029</v>
      </c>
      <c r="M8" s="93">
        <f>SUBTOTAL(7,M4:M6)</f>
        <v>0</v>
      </c>
      <c r="N8" s="93">
        <f>SUBTOTAL(7,N4:N6)</f>
        <v>4.3511678576336583E-15</v>
      </c>
      <c r="O8" s="91">
        <f>SUBTOTAL(7,O4:O6)</f>
        <v>0</v>
      </c>
      <c r="P8" s="93">
        <f>SUBTOTAL(7,P4:P6)</f>
        <v>0.23880344079039867</v>
      </c>
      <c r="Q8" s="93">
        <f>SUBTOTAL(7,Q4:Q6)</f>
        <v>36.807415466632989</v>
      </c>
      <c r="R8" s="93">
        <f>SUBTOTAL(7,R4:R6)</f>
        <v>4.9780143861215809</v>
      </c>
      <c r="S8" s="93">
        <f>SUBTOTAL(7,S4:S6)</f>
        <v>1.3349670243847547</v>
      </c>
      <c r="T8" s="93">
        <f>SUBTOTAL(7,T4:T6)</f>
        <v>5.2197210653443932E-2</v>
      </c>
      <c r="U8" s="93">
        <f>SUBTOTAL(7,U4:U6)</f>
        <v>4.5116203862913746</v>
      </c>
      <c r="V8" s="31">
        <f>SUBTOTAL(7,V4:V6)</f>
        <v>1</v>
      </c>
      <c r="W8" s="93">
        <f>SUBTOTAL(7,W4:W6)</f>
        <v>1.4047538337136989</v>
      </c>
      <c r="X8" s="93">
        <f>SUBTOTAL(7,X4:X6)</f>
        <v>2.6229754097208016</v>
      </c>
      <c r="Y8" s="93">
        <f>SUBTOTAL(7,Y4:Y6)</f>
        <v>0.11561759948260907</v>
      </c>
      <c r="Z8" s="93">
        <f>SUBTOTAL(7,Z4:Z6)</f>
        <v>0.13088699649305402</v>
      </c>
      <c r="AA8" s="93">
        <f>SUBTOTAL(7,AA4:AA6)</f>
        <v>6.1990816188988207</v>
      </c>
      <c r="AB8" s="93">
        <f>SUBTOTAL(7,AB4:AB6)</f>
        <v>39.193238063409602</v>
      </c>
      <c r="AC8" s="93">
        <f>SUBTOTAL(7,AC4:AC6)</f>
        <v>5.4171304800683204E-2</v>
      </c>
      <c r="AD8" s="93">
        <f>SUBTOTAL(7,AD4:AD6)</f>
        <v>38.209556626460454</v>
      </c>
      <c r="AE8" s="91">
        <f>SUBTOTAL(7,AE4:AE6)</f>
        <v>0.29905100592926254</v>
      </c>
    </row>
    <row r="9" spans="1:31" outlineLevel="3" x14ac:dyDescent="0.3">
      <c r="A9" s="47">
        <v>33070</v>
      </c>
      <c r="B9" s="80" t="s">
        <v>61</v>
      </c>
      <c r="C9" s="7" t="s">
        <v>43</v>
      </c>
      <c r="D9" s="7" t="s">
        <v>48</v>
      </c>
      <c r="E9" s="7" t="s">
        <v>45</v>
      </c>
      <c r="F9" s="50">
        <v>12</v>
      </c>
      <c r="G9" s="17">
        <v>115.64</v>
      </c>
      <c r="H9" s="6">
        <v>153</v>
      </c>
      <c r="I9" s="56">
        <v>75.58169934640523</v>
      </c>
      <c r="J9" s="19">
        <v>2.5499999999999998</v>
      </c>
      <c r="K9" s="18">
        <v>24.78</v>
      </c>
      <c r="L9" s="18">
        <v>505.71428571428578</v>
      </c>
      <c r="M9" s="20">
        <v>4.0999999999999996</v>
      </c>
      <c r="N9" s="20">
        <v>25.698276349999993</v>
      </c>
      <c r="O9" s="62">
        <v>1.4684729342857139</v>
      </c>
      <c r="P9" s="20">
        <v>6.5324999999999998</v>
      </c>
      <c r="Q9" s="20">
        <v>420.15</v>
      </c>
      <c r="R9" s="20">
        <v>163.72103000000001</v>
      </c>
      <c r="S9" s="20">
        <v>23.615345268542196</v>
      </c>
      <c r="T9" s="21">
        <v>0.92335999999999985</v>
      </c>
      <c r="U9" s="20">
        <v>135.90710000000001</v>
      </c>
      <c r="V9" s="6">
        <v>12</v>
      </c>
      <c r="W9" s="20">
        <v>28.4</v>
      </c>
      <c r="X9" s="20">
        <v>70.400000000000006</v>
      </c>
      <c r="Y9" s="22">
        <v>2.3374485596707819</v>
      </c>
      <c r="Z9" s="22">
        <v>3.512974051896208</v>
      </c>
      <c r="AA9" s="20">
        <v>535.18005359439496</v>
      </c>
      <c r="AB9" s="20">
        <v>583.87103000000002</v>
      </c>
      <c r="AC9" s="18">
        <v>0.91660662388814695</v>
      </c>
      <c r="AD9" s="18">
        <v>48.690976405605056</v>
      </c>
      <c r="AE9" s="56">
        <v>3.4664119482108826</v>
      </c>
    </row>
    <row r="10" spans="1:31" outlineLevel="3" x14ac:dyDescent="0.3">
      <c r="A10" s="47">
        <v>33070</v>
      </c>
      <c r="B10" s="80" t="s">
        <v>61</v>
      </c>
      <c r="C10" s="7" t="s">
        <v>43</v>
      </c>
      <c r="D10" s="7" t="s">
        <v>48</v>
      </c>
      <c r="E10" s="7" t="s">
        <v>46</v>
      </c>
      <c r="F10" s="50">
        <v>13</v>
      </c>
      <c r="G10" s="17">
        <v>116.7</v>
      </c>
      <c r="H10" s="6">
        <v>158</v>
      </c>
      <c r="I10" s="56">
        <v>73.860759493670898</v>
      </c>
      <c r="J10" s="19">
        <v>2.54</v>
      </c>
      <c r="K10" s="18">
        <v>24.97</v>
      </c>
      <c r="L10" s="18">
        <v>509.59183673469386</v>
      </c>
      <c r="M10" s="20">
        <v>4.2</v>
      </c>
      <c r="N10" s="20">
        <v>26.686689399999992</v>
      </c>
      <c r="O10" s="62">
        <v>1.5249536799999994</v>
      </c>
      <c r="P10" s="20">
        <v>6.1375000000000002</v>
      </c>
      <c r="Q10" s="20">
        <v>430.75</v>
      </c>
      <c r="R10" s="20">
        <v>166.24435</v>
      </c>
      <c r="S10" s="20">
        <v>24.226086956521737</v>
      </c>
      <c r="T10" s="21">
        <v>0.94723999999999997</v>
      </c>
      <c r="U10" s="20">
        <v>137.7287</v>
      </c>
      <c r="V10" s="6">
        <v>13</v>
      </c>
      <c r="W10" s="20">
        <v>28.8</v>
      </c>
      <c r="X10" s="20">
        <v>75.599999999999994</v>
      </c>
      <c r="Y10" s="22">
        <v>2.3703703703703702</v>
      </c>
      <c r="Z10" s="22">
        <v>3.772455089820359</v>
      </c>
      <c r="AA10" s="20">
        <v>539.96074915140628</v>
      </c>
      <c r="AB10" s="20">
        <v>596.99434999999994</v>
      </c>
      <c r="AC10" s="18">
        <v>0.90446542609893432</v>
      </c>
      <c r="AD10" s="18">
        <v>57.033600848593665</v>
      </c>
      <c r="AE10" s="56">
        <v>3.4311019831299356</v>
      </c>
    </row>
    <row r="11" spans="1:31" outlineLevel="3" x14ac:dyDescent="0.3">
      <c r="A11" s="47">
        <v>33070</v>
      </c>
      <c r="B11" s="80" t="s">
        <v>61</v>
      </c>
      <c r="C11" s="7" t="s">
        <v>43</v>
      </c>
      <c r="D11" s="7" t="s">
        <v>48</v>
      </c>
      <c r="E11" s="7" t="s">
        <v>47</v>
      </c>
      <c r="F11" s="50">
        <v>14</v>
      </c>
      <c r="G11" s="17">
        <v>131.47999999999999</v>
      </c>
      <c r="H11" s="6">
        <v>182</v>
      </c>
      <c r="I11" s="56">
        <v>72.241758241758234</v>
      </c>
      <c r="J11" s="19">
        <v>2.5499999999999998</v>
      </c>
      <c r="K11" s="18">
        <v>25.05</v>
      </c>
      <c r="L11" s="18">
        <v>511.22448979591837</v>
      </c>
      <c r="M11" s="20">
        <v>4.2</v>
      </c>
      <c r="N11" s="20">
        <v>26.686689399999992</v>
      </c>
      <c r="O11" s="62">
        <v>1.5249536799999994</v>
      </c>
      <c r="P11" s="20">
        <v>6.9775</v>
      </c>
      <c r="Q11" s="20">
        <v>423.95</v>
      </c>
      <c r="R11" s="20">
        <v>168.73789000000002</v>
      </c>
      <c r="S11" s="20">
        <v>22.597442455242966</v>
      </c>
      <c r="T11" s="21">
        <v>0.88356000000000001</v>
      </c>
      <c r="U11" s="20">
        <v>140.67240000000001</v>
      </c>
      <c r="V11" s="6">
        <v>14</v>
      </c>
      <c r="W11" s="20">
        <v>28.4</v>
      </c>
      <c r="X11" s="20">
        <v>70.400000000000006</v>
      </c>
      <c r="Y11" s="22">
        <v>2.3374485596707819</v>
      </c>
      <c r="Z11" s="22">
        <v>3.512974051896208</v>
      </c>
      <c r="AA11" s="20">
        <v>539.6723548627283</v>
      </c>
      <c r="AB11" s="20">
        <v>592.68789000000004</v>
      </c>
      <c r="AC11" s="18">
        <v>0.91055066919408167</v>
      </c>
      <c r="AD11" s="18">
        <v>53.01553513727174</v>
      </c>
      <c r="AE11" s="56">
        <v>3.7335616704015577</v>
      </c>
    </row>
    <row r="12" spans="1:31" outlineLevel="2" x14ac:dyDescent="0.3">
      <c r="A12" s="47">
        <v>33070</v>
      </c>
      <c r="B12" s="80" t="s">
        <v>61</v>
      </c>
      <c r="C12" s="7"/>
      <c r="D12" s="89" t="s">
        <v>80</v>
      </c>
      <c r="E12" s="7"/>
      <c r="F12" s="50"/>
      <c r="G12" s="17">
        <f>SUBTOTAL(1,G9:G11)</f>
        <v>121.27333333333333</v>
      </c>
      <c r="H12" s="6">
        <f>SUBTOTAL(1,H9:H11)</f>
        <v>164.33333333333334</v>
      </c>
      <c r="I12" s="56">
        <f>SUBTOTAL(1,I9:I11)</f>
        <v>73.894739027278135</v>
      </c>
      <c r="J12" s="19">
        <f>SUBTOTAL(1,J9:J11)</f>
        <v>2.5466666666666664</v>
      </c>
      <c r="K12" s="18">
        <f>SUBTOTAL(1,K9:K11)</f>
        <v>24.933333333333334</v>
      </c>
      <c r="L12" s="18">
        <f>SUBTOTAL(1,L9:L11)</f>
        <v>508.84353741496602</v>
      </c>
      <c r="M12" s="20">
        <f>SUBTOTAL(1,M9:M11)</f>
        <v>4.166666666666667</v>
      </c>
      <c r="N12" s="20">
        <f>SUBTOTAL(1,N9:N11)</f>
        <v>26.357218383333322</v>
      </c>
      <c r="O12" s="62">
        <f>SUBTOTAL(1,O9:O11)</f>
        <v>1.5061267647619043</v>
      </c>
      <c r="P12" s="20">
        <f>SUBTOTAL(1,P9:P11)</f>
        <v>6.5491666666666672</v>
      </c>
      <c r="Q12" s="20">
        <f>SUBTOTAL(1,Q9:Q11)</f>
        <v>424.95</v>
      </c>
      <c r="R12" s="20">
        <f>SUBTOTAL(1,R9:R11)</f>
        <v>166.23442333333332</v>
      </c>
      <c r="S12" s="20">
        <f>SUBTOTAL(1,S9:S11)</f>
        <v>23.479624893435631</v>
      </c>
      <c r="T12" s="21">
        <f>SUBTOTAL(1,T9:T11)</f>
        <v>0.91805333333333328</v>
      </c>
      <c r="U12" s="20">
        <f>SUBTOTAL(1,U9:U11)</f>
        <v>138.10273333333336</v>
      </c>
      <c r="V12" s="6">
        <f>SUBTOTAL(1,V9:V11)</f>
        <v>13</v>
      </c>
      <c r="W12" s="20">
        <f>SUBTOTAL(1,W9:W11)</f>
        <v>28.533333333333331</v>
      </c>
      <c r="X12" s="20">
        <f>SUBTOTAL(1,X9:X11)</f>
        <v>72.13333333333334</v>
      </c>
      <c r="Y12" s="22">
        <f>SUBTOTAL(1,Y9:Y11)</f>
        <v>2.3484224965706448</v>
      </c>
      <c r="Z12" s="22">
        <f>SUBTOTAL(1,Z9:Z11)</f>
        <v>3.5994677312042582</v>
      </c>
      <c r="AA12" s="20">
        <f>SUBTOTAL(1,AA9:AA11)</f>
        <v>538.27105253617651</v>
      </c>
      <c r="AB12" s="20">
        <f>SUBTOTAL(1,AB9:AB11)</f>
        <v>591.18442333333326</v>
      </c>
      <c r="AC12" s="18">
        <f>SUBTOTAL(1,AC9:AC11)</f>
        <v>0.91054090639372098</v>
      </c>
      <c r="AD12" s="18">
        <f>SUBTOTAL(1,AD9:AD11)</f>
        <v>52.913370797156823</v>
      </c>
      <c r="AE12" s="56">
        <f>SUBTOTAL(1,AE9:AE11)</f>
        <v>3.5436918672474587</v>
      </c>
    </row>
    <row r="13" spans="1:31" outlineLevel="1" x14ac:dyDescent="0.3">
      <c r="A13" s="47">
        <v>33070</v>
      </c>
      <c r="B13" s="80" t="s">
        <v>61</v>
      </c>
      <c r="C13" s="7"/>
      <c r="D13" s="89" t="s">
        <v>77</v>
      </c>
      <c r="E13" s="7"/>
      <c r="F13" s="50"/>
      <c r="G13" s="90">
        <f>SUBTOTAL(7,G9:G11)</f>
        <v>8.8551077539086567</v>
      </c>
      <c r="H13" s="6">
        <f>SUBTOTAL(7,H9:H11)</f>
        <v>15.50268793897798</v>
      </c>
      <c r="I13" s="91">
        <f>SUBTOTAL(7,I9:I11)</f>
        <v>1.6702298051932174</v>
      </c>
      <c r="J13" s="92">
        <f>SUBTOTAL(7,J9:J11)</f>
        <v>5.7735026918961348E-3</v>
      </c>
      <c r="K13" s="94">
        <f>SUBTOTAL(7,K9:K11)</f>
        <v>0.13868429375143099</v>
      </c>
      <c r="L13" s="94">
        <f>SUBTOTAL(7,L9:L11)</f>
        <v>2.8302917092128506</v>
      </c>
      <c r="M13" s="94">
        <f>SUBTOTAL(7,M9:M11)</f>
        <v>5.7735026918962887E-2</v>
      </c>
      <c r="N13" s="94">
        <f>SUBTOTAL(7,N9:N11)</f>
        <v>0.57066054048803816</v>
      </c>
      <c r="O13" s="91">
        <f>SUBTOTAL(7,O9:O11)</f>
        <v>3.2609173742173543E-2</v>
      </c>
      <c r="P13" s="94">
        <f>SUBTOTAL(7,P9:P11)</f>
        <v>0.4202479426878058</v>
      </c>
      <c r="Q13" s="94">
        <f>SUBTOTAL(7,Q9:Q11)</f>
        <v>5.3702886328390314</v>
      </c>
      <c r="R13" s="94">
        <f>SUBTOTAL(7,R9:R11)</f>
        <v>2.5084447310900342</v>
      </c>
      <c r="S13" s="94">
        <f>SUBTOTAL(7,S9:S11)</f>
        <v>0.82276104857406429</v>
      </c>
      <c r="T13" s="94">
        <f>SUBTOTAL(7,T9:T11)</f>
        <v>3.2169956999245915E-2</v>
      </c>
      <c r="U13" s="94">
        <f>SUBTOTAL(7,U9:U11)</f>
        <v>2.4045678870294611</v>
      </c>
      <c r="V13" s="6">
        <f>SUBTOTAL(7,V9:V11)</f>
        <v>1</v>
      </c>
      <c r="W13" s="94">
        <f>SUBTOTAL(7,W9:W11)</f>
        <v>0.23094010767585155</v>
      </c>
      <c r="X13" s="94">
        <f>SUBTOTAL(7,X9:X11)</f>
        <v>3.0022213997860474</v>
      </c>
      <c r="Y13" s="94">
        <f>SUBTOTAL(7,Y9:Y11)</f>
        <v>1.9007416269617224E-2</v>
      </c>
      <c r="Z13" s="94">
        <f>SUBTOTAL(7,Z9:Z11)</f>
        <v>0.14981144709511207</v>
      </c>
      <c r="AA13" s="94">
        <f>SUBTOTAL(7,AA9:AA11)</f>
        <v>2.6807645663143402</v>
      </c>
      <c r="AB13" s="94">
        <f>SUBTOTAL(7,AB9:AB11)</f>
        <v>6.6895957253733132</v>
      </c>
      <c r="AC13" s="94">
        <f>SUBTOTAL(7,AC9:AC11)</f>
        <v>6.0706047823424134E-3</v>
      </c>
      <c r="AD13" s="94">
        <f>SUBTOTAL(7,AD9:AD11)</f>
        <v>4.1722504495153556</v>
      </c>
      <c r="AE13" s="91">
        <f>SUBTOTAL(7,AE9:AE11)</f>
        <v>0.16537715991283886</v>
      </c>
    </row>
    <row r="14" spans="1:31" outlineLevel="3" x14ac:dyDescent="0.3">
      <c r="A14" s="47">
        <v>33070</v>
      </c>
      <c r="B14" s="80" t="s">
        <v>61</v>
      </c>
      <c r="C14" s="7" t="s">
        <v>43</v>
      </c>
      <c r="D14" s="7" t="s">
        <v>49</v>
      </c>
      <c r="E14" s="7" t="s">
        <v>45</v>
      </c>
      <c r="F14" s="50">
        <v>15</v>
      </c>
      <c r="G14" s="17">
        <v>138.02000000000001</v>
      </c>
      <c r="H14" s="6">
        <v>188</v>
      </c>
      <c r="I14" s="56">
        <v>73.414893617021278</v>
      </c>
      <c r="J14" s="19">
        <v>2.56</v>
      </c>
      <c r="K14" s="18">
        <v>24.54</v>
      </c>
      <c r="L14" s="18">
        <v>500.81632653061223</v>
      </c>
      <c r="M14" s="20">
        <v>4</v>
      </c>
      <c r="N14" s="20">
        <v>24.710659999999997</v>
      </c>
      <c r="O14" s="62">
        <v>1.4120377142857141</v>
      </c>
      <c r="P14" s="20">
        <v>5.6550000000000002</v>
      </c>
      <c r="Q14" s="20">
        <v>411.65</v>
      </c>
      <c r="R14" s="20">
        <v>164.57552999999999</v>
      </c>
      <c r="S14" s="20">
        <v>24.429667519181582</v>
      </c>
      <c r="T14" s="21">
        <v>0.95519999999999994</v>
      </c>
      <c r="U14" s="20">
        <v>137.32429999999999</v>
      </c>
      <c r="V14" s="6">
        <v>15</v>
      </c>
      <c r="W14" s="20">
        <v>27.6</v>
      </c>
      <c r="X14" s="20">
        <v>67.599999999999994</v>
      </c>
      <c r="Y14" s="22">
        <v>2.2716049382716048</v>
      </c>
      <c r="Z14" s="22">
        <v>3.3732534930139719</v>
      </c>
      <c r="AA14" s="20">
        <v>530.89085248107938</v>
      </c>
      <c r="AB14" s="20">
        <v>576.22552999999994</v>
      </c>
      <c r="AC14" s="18">
        <v>0.92132476754558135</v>
      </c>
      <c r="AD14" s="18">
        <v>45.334677518920557</v>
      </c>
      <c r="AE14" s="56">
        <v>3.3683538646356785</v>
      </c>
    </row>
    <row r="15" spans="1:31" outlineLevel="3" x14ac:dyDescent="0.3">
      <c r="A15" s="47">
        <v>33070</v>
      </c>
      <c r="B15" s="80" t="s">
        <v>61</v>
      </c>
      <c r="C15" s="7" t="s">
        <v>43</v>
      </c>
      <c r="D15" s="7" t="s">
        <v>49</v>
      </c>
      <c r="E15" s="7" t="s">
        <v>46</v>
      </c>
      <c r="F15" s="50">
        <v>16</v>
      </c>
      <c r="G15" s="17">
        <v>135.15</v>
      </c>
      <c r="H15" s="6">
        <v>179</v>
      </c>
      <c r="I15" s="56">
        <v>75.502793296089393</v>
      </c>
      <c r="J15" s="19">
        <v>2.56</v>
      </c>
      <c r="K15" s="18">
        <v>25.63</v>
      </c>
      <c r="L15" s="18">
        <v>523.0612244897959</v>
      </c>
      <c r="M15" s="20">
        <v>4.3</v>
      </c>
      <c r="N15" s="20">
        <v>27.675899149999999</v>
      </c>
      <c r="O15" s="62">
        <v>1.5814799514285713</v>
      </c>
      <c r="P15" s="20">
        <v>7.2074999999999996</v>
      </c>
      <c r="Q15" s="20">
        <v>441.05</v>
      </c>
      <c r="R15" s="20">
        <v>167.55211</v>
      </c>
      <c r="S15" s="20">
        <v>26.669053708439897</v>
      </c>
      <c r="T15" s="21">
        <v>1.0427599999999999</v>
      </c>
      <c r="U15" s="20">
        <v>138.3546</v>
      </c>
      <c r="V15" s="6">
        <v>16</v>
      </c>
      <c r="W15" s="20">
        <v>28</v>
      </c>
      <c r="X15" s="20">
        <v>72.400000000000006</v>
      </c>
      <c r="Y15" s="22">
        <v>2.3045267489711931</v>
      </c>
      <c r="Z15" s="22">
        <v>3.6127744510978048</v>
      </c>
      <c r="AA15" s="20">
        <v>555.64757939830486</v>
      </c>
      <c r="AB15" s="20">
        <v>608.60210999999993</v>
      </c>
      <c r="AC15" s="18">
        <v>0.91298989975290246</v>
      </c>
      <c r="AD15" s="18">
        <v>52.954530601695069</v>
      </c>
      <c r="AE15" s="56">
        <v>3.1413208700947486</v>
      </c>
    </row>
    <row r="16" spans="1:31" outlineLevel="3" x14ac:dyDescent="0.3">
      <c r="A16" s="47">
        <v>33070</v>
      </c>
      <c r="B16" s="80" t="s">
        <v>61</v>
      </c>
      <c r="C16" s="81" t="s">
        <v>43</v>
      </c>
      <c r="D16" s="81" t="s">
        <v>49</v>
      </c>
      <c r="E16" s="81" t="s">
        <v>47</v>
      </c>
      <c r="F16" s="50">
        <v>17</v>
      </c>
      <c r="G16" s="17">
        <v>126.34</v>
      </c>
      <c r="H16" s="31">
        <v>164</v>
      </c>
      <c r="I16" s="56">
        <v>77.036585365853654</v>
      </c>
      <c r="J16" s="19">
        <v>2.56</v>
      </c>
      <c r="K16" s="85">
        <v>25.5</v>
      </c>
      <c r="L16" s="85">
        <v>520.40816326530614</v>
      </c>
      <c r="M16" s="86">
        <v>4.0999999999999996</v>
      </c>
      <c r="N16" s="86">
        <v>25.698276349999993</v>
      </c>
      <c r="O16" s="62">
        <v>1.4684729342857139</v>
      </c>
      <c r="P16" s="86">
        <v>5.8075000000000001</v>
      </c>
      <c r="Q16" s="86">
        <v>428.65</v>
      </c>
      <c r="R16" s="86">
        <v>168.53303</v>
      </c>
      <c r="S16" s="86">
        <v>26.261892583120201</v>
      </c>
      <c r="T16" s="87">
        <v>1.02684</v>
      </c>
      <c r="U16" s="86">
        <v>140.15639999999999</v>
      </c>
      <c r="V16" s="31">
        <v>17</v>
      </c>
      <c r="W16" s="86">
        <v>28.4</v>
      </c>
      <c r="X16" s="86">
        <v>66.8</v>
      </c>
      <c r="Y16" s="88">
        <v>2.3374485596707819</v>
      </c>
      <c r="Z16" s="88">
        <v>3.3333333333333335</v>
      </c>
      <c r="AA16" s="86">
        <v>552.34083774143051</v>
      </c>
      <c r="AB16" s="86">
        <v>597.18303000000003</v>
      </c>
      <c r="AC16" s="85">
        <v>0.92491047131970661</v>
      </c>
      <c r="AD16" s="85">
        <v>44.842192258569526</v>
      </c>
      <c r="AE16" s="56">
        <v>3.2086992486658099</v>
      </c>
    </row>
    <row r="17" spans="1:31" outlineLevel="2" x14ac:dyDescent="0.3">
      <c r="A17" s="47">
        <v>33070</v>
      </c>
      <c r="B17" s="80" t="s">
        <v>61</v>
      </c>
      <c r="C17" s="81"/>
      <c r="D17" s="95" t="s">
        <v>81</v>
      </c>
      <c r="E17" s="81"/>
      <c r="F17" s="50"/>
      <c r="G17" s="17">
        <f>SUBTOTAL(1,G14:G16)</f>
        <v>133.16999999999999</v>
      </c>
      <c r="H17" s="31">
        <f>SUBTOTAL(1,H14:H16)</f>
        <v>177</v>
      </c>
      <c r="I17" s="56">
        <f>SUBTOTAL(1,I14:I16)</f>
        <v>75.31809075965478</v>
      </c>
      <c r="J17" s="19">
        <f>SUBTOTAL(1,J14:J16)</f>
        <v>2.56</v>
      </c>
      <c r="K17" s="85">
        <f>SUBTOTAL(1,K14:K16)</f>
        <v>25.223333333333333</v>
      </c>
      <c r="L17" s="85">
        <f>SUBTOTAL(1,L14:L16)</f>
        <v>514.7619047619047</v>
      </c>
      <c r="M17" s="86">
        <f>SUBTOTAL(1,M14:M16)</f>
        <v>4.1333333333333337</v>
      </c>
      <c r="N17" s="86">
        <f>SUBTOTAL(1,N14:N16)</f>
        <v>26.028278499999999</v>
      </c>
      <c r="O17" s="62">
        <f>SUBTOTAL(1,O14:O16)</f>
        <v>1.4873301999999997</v>
      </c>
      <c r="P17" s="86">
        <f>SUBTOTAL(1,P14:P16)</f>
        <v>6.2233333333333336</v>
      </c>
      <c r="Q17" s="86">
        <f>SUBTOTAL(1,Q14:Q16)</f>
        <v>427.11666666666662</v>
      </c>
      <c r="R17" s="86">
        <f>SUBTOTAL(1,R14:R16)</f>
        <v>166.88688999999999</v>
      </c>
      <c r="S17" s="86">
        <f>SUBTOTAL(1,S14:S16)</f>
        <v>25.786871270247229</v>
      </c>
      <c r="T17" s="87">
        <f>SUBTOTAL(1,T14:T16)</f>
        <v>1.0082666666666666</v>
      </c>
      <c r="U17" s="86">
        <f>SUBTOTAL(1,U14:U16)</f>
        <v>138.61176666666665</v>
      </c>
      <c r="V17" s="31">
        <f>SUBTOTAL(1,V14:V16)</f>
        <v>16</v>
      </c>
      <c r="W17" s="86">
        <f>SUBTOTAL(1,W14:W16)</f>
        <v>28</v>
      </c>
      <c r="X17" s="86">
        <f>SUBTOTAL(1,X14:X16)</f>
        <v>68.933333333333337</v>
      </c>
      <c r="Y17" s="88">
        <f>SUBTOTAL(1,Y14:Y16)</f>
        <v>2.3045267489711931</v>
      </c>
      <c r="Z17" s="88">
        <f>SUBTOTAL(1,Z14:Z16)</f>
        <v>3.4397870924817036</v>
      </c>
      <c r="AA17" s="86">
        <f>SUBTOTAL(1,AA14:AA16)</f>
        <v>546.29308987360491</v>
      </c>
      <c r="AB17" s="86">
        <f>SUBTOTAL(1,AB14:AB16)</f>
        <v>594.00355666666667</v>
      </c>
      <c r="AC17" s="85">
        <f>SUBTOTAL(1,AC14:AC16)</f>
        <v>0.91974171287273021</v>
      </c>
      <c r="AD17" s="85">
        <f>SUBTOTAL(1,AD14:AD16)</f>
        <v>47.71046679306172</v>
      </c>
      <c r="AE17" s="56">
        <f>SUBTOTAL(1,AE14:AE16)</f>
        <v>3.2394579944654125</v>
      </c>
    </row>
    <row r="18" spans="1:31" outlineLevel="1" x14ac:dyDescent="0.3">
      <c r="A18" s="47">
        <v>33070</v>
      </c>
      <c r="B18" s="80" t="s">
        <v>61</v>
      </c>
      <c r="C18" s="81"/>
      <c r="D18" s="95" t="s">
        <v>78</v>
      </c>
      <c r="E18" s="81"/>
      <c r="F18" s="50"/>
      <c r="G18" s="90">
        <f>SUBTOTAL(7,G14:G16)</f>
        <v>6.0865343176556594</v>
      </c>
      <c r="H18" s="31">
        <f>SUBTOTAL(7,H14:H16)</f>
        <v>12.124355652982141</v>
      </c>
      <c r="I18" s="91">
        <f>SUBTOTAL(7,I14:I16)</f>
        <v>1.8178968758194631</v>
      </c>
      <c r="J18" s="92">
        <f>SUBTOTAL(7,J14:J16)</f>
        <v>0</v>
      </c>
      <c r="K18" s="93">
        <f>SUBTOTAL(7,K14:K16)</f>
        <v>0.59534303836807689</v>
      </c>
      <c r="L18" s="93">
        <f>SUBTOTAL(7,L14:L16)</f>
        <v>12.149857925879127</v>
      </c>
      <c r="M18" s="93">
        <f>SUBTOTAL(7,M14:M16)</f>
        <v>0.15275252316519461</v>
      </c>
      <c r="N18" s="93">
        <f>SUBTOTAL(7,N14:N16)</f>
        <v>1.5099128678260385</v>
      </c>
      <c r="O18" s="91">
        <f>SUBTOTAL(7,O14:O16)</f>
        <v>8.6280735304345046E-2</v>
      </c>
      <c r="P18" s="93">
        <f>SUBTOTAL(7,P14:P16)</f>
        <v>0.85571729171107003</v>
      </c>
      <c r="Q18" s="93">
        <f>SUBTOTAL(7,Q14:Q16)</f>
        <v>14.759855464513661</v>
      </c>
      <c r="R18" s="93">
        <f>SUBTOTAL(7,R14:R16)</f>
        <v>2.0609075182550103</v>
      </c>
      <c r="S18" s="93">
        <f>SUBTOTAL(7,S14:S16)</f>
        <v>1.1928732379942526</v>
      </c>
      <c r="T18" s="93">
        <f>SUBTOTAL(7,T14:T16)</f>
        <v>4.6641343605575224E-2</v>
      </c>
      <c r="U18" s="93">
        <f>SUBTOTAL(7,U14:U16)</f>
        <v>1.4334568787840554</v>
      </c>
      <c r="V18" s="31">
        <f>SUBTOTAL(7,V14:V16)</f>
        <v>1</v>
      </c>
      <c r="W18" s="93">
        <f>SUBTOTAL(7,W14:W16)</f>
        <v>0.39999999999999858</v>
      </c>
      <c r="X18" s="93">
        <f>SUBTOTAL(7,X14:X16)</f>
        <v>3.0287511177601516</v>
      </c>
      <c r="Y18" s="93">
        <f>SUBTOTAL(7,Y14:Y16)</f>
        <v>3.292181069958855E-2</v>
      </c>
      <c r="Z18" s="93">
        <f>SUBTOTAL(7,Z14:Z16)</f>
        <v>0.15113528531737278</v>
      </c>
      <c r="AA18" s="93">
        <f>SUBTOTAL(7,AA14:AA16)</f>
        <v>13.440808108819606</v>
      </c>
      <c r="AB18" s="93">
        <f>SUBTOTAL(7,AB14:AB16)</f>
        <v>16.420795386708082</v>
      </c>
      <c r="AC18" s="93">
        <f>SUBTOTAL(7,AC14:AC16)</f>
        <v>6.1159261925526811E-3</v>
      </c>
      <c r="AD18" s="93">
        <f>SUBTOTAL(7,AD14:AD16)</f>
        <v>4.5481632946365673</v>
      </c>
      <c r="AE18" s="91">
        <f>SUBTOTAL(7,AE14:AE16)</f>
        <v>0.11660004496109297</v>
      </c>
    </row>
    <row r="19" spans="1:31" outlineLevel="3" x14ac:dyDescent="0.3">
      <c r="A19" s="47">
        <v>33077</v>
      </c>
      <c r="B19" s="80" t="s">
        <v>62</v>
      </c>
      <c r="C19" s="7" t="s">
        <v>43</v>
      </c>
      <c r="D19" s="7" t="s">
        <v>44</v>
      </c>
      <c r="E19" s="7" t="s">
        <v>45</v>
      </c>
      <c r="F19" s="50">
        <v>9</v>
      </c>
      <c r="G19" s="17">
        <v>134.05000000000001</v>
      </c>
      <c r="H19" s="6">
        <v>191</v>
      </c>
      <c r="I19" s="56">
        <v>70.183246073298434</v>
      </c>
      <c r="J19" s="19">
        <v>2.56</v>
      </c>
      <c r="K19" s="18">
        <v>23.84</v>
      </c>
      <c r="L19" s="18">
        <v>486.53061224489795</v>
      </c>
      <c r="M19" s="20">
        <v>4.5999999999999996</v>
      </c>
      <c r="N19" s="20">
        <v>30.648308599999993</v>
      </c>
      <c r="O19" s="62">
        <v>1.7513319199999995</v>
      </c>
      <c r="P19" s="20">
        <v>10.9825</v>
      </c>
      <c r="Q19" s="20">
        <v>406.7</v>
      </c>
      <c r="R19" s="20">
        <v>142.09994</v>
      </c>
      <c r="S19" s="20">
        <v>15.472122762148338</v>
      </c>
      <c r="T19" s="21">
        <v>0.60496000000000005</v>
      </c>
      <c r="U19" s="20">
        <v>115.1764</v>
      </c>
      <c r="V19" s="6">
        <v>9</v>
      </c>
      <c r="W19" s="20">
        <v>27.6</v>
      </c>
      <c r="X19" s="20">
        <v>79.599999999999994</v>
      </c>
      <c r="Y19" s="22">
        <v>2.2716049382716048</v>
      </c>
      <c r="Z19" s="22">
        <v>3.9720558882235526</v>
      </c>
      <c r="AA19" s="20">
        <v>508.24639583354144</v>
      </c>
      <c r="AB19" s="20">
        <v>548.79994000000011</v>
      </c>
      <c r="AC19" s="18">
        <v>0.92610504992683007</v>
      </c>
      <c r="AD19" s="18">
        <v>40.553544166458664</v>
      </c>
      <c r="AE19" s="56">
        <v>4.5921281192144932</v>
      </c>
    </row>
    <row r="20" spans="1:31" outlineLevel="3" x14ac:dyDescent="0.3">
      <c r="A20" s="47">
        <v>33077</v>
      </c>
      <c r="B20" s="80" t="s">
        <v>62</v>
      </c>
      <c r="C20" s="7" t="s">
        <v>43</v>
      </c>
      <c r="D20" s="7" t="s">
        <v>44</v>
      </c>
      <c r="E20" s="7" t="s">
        <v>46</v>
      </c>
      <c r="F20" s="50">
        <v>10</v>
      </c>
      <c r="G20" s="17">
        <v>125.32</v>
      </c>
      <c r="H20" s="6">
        <v>174</v>
      </c>
      <c r="I20" s="56">
        <v>72.022988505747122</v>
      </c>
      <c r="J20" s="19">
        <v>2.56</v>
      </c>
      <c r="K20" s="18">
        <v>23.67</v>
      </c>
      <c r="L20" s="18">
        <v>483.06122448979596</v>
      </c>
      <c r="M20" s="20">
        <v>4.5999999999999996</v>
      </c>
      <c r="N20" s="20">
        <v>30.648308599999993</v>
      </c>
      <c r="O20" s="62">
        <v>1.7513319199999995</v>
      </c>
      <c r="P20" s="20">
        <v>10.7575</v>
      </c>
      <c r="Q20" s="20">
        <v>403.65</v>
      </c>
      <c r="R20" s="20">
        <v>144.84753000000001</v>
      </c>
      <c r="S20" s="20">
        <v>16.490025575447568</v>
      </c>
      <c r="T20" s="21">
        <v>0.64476</v>
      </c>
      <c r="U20" s="20">
        <v>118.1259</v>
      </c>
      <c r="V20" s="6">
        <v>10</v>
      </c>
      <c r="W20" s="20">
        <v>28.8</v>
      </c>
      <c r="X20" s="20">
        <v>80</v>
      </c>
      <c r="Y20" s="22">
        <v>2.3703703703703702</v>
      </c>
      <c r="Z20" s="22">
        <v>3.9920159680638725</v>
      </c>
      <c r="AA20" s="20">
        <v>505.9136364036778</v>
      </c>
      <c r="AB20" s="20">
        <v>548.4975300000001</v>
      </c>
      <c r="AC20" s="18">
        <v>0.92236265203177437</v>
      </c>
      <c r="AD20" s="18">
        <v>42.583893596322298</v>
      </c>
      <c r="AE20" s="56">
        <v>4.3919740857063099</v>
      </c>
    </row>
    <row r="21" spans="1:31" ht="15" outlineLevel="3" thickBot="1" x14ac:dyDescent="0.35">
      <c r="A21" s="82">
        <v>33077</v>
      </c>
      <c r="B21" s="79" t="s">
        <v>62</v>
      </c>
      <c r="C21" s="32" t="s">
        <v>43</v>
      </c>
      <c r="D21" s="32" t="s">
        <v>44</v>
      </c>
      <c r="E21" s="32" t="s">
        <v>47</v>
      </c>
      <c r="F21" s="51">
        <v>11</v>
      </c>
      <c r="G21" s="39">
        <v>141.19999999999999</v>
      </c>
      <c r="H21" s="33">
        <v>186</v>
      </c>
      <c r="I21" s="58">
        <v>75.913978494623649</v>
      </c>
      <c r="J21" s="41">
        <v>2.57</v>
      </c>
      <c r="K21" s="40">
        <v>24.54</v>
      </c>
      <c r="L21" s="40">
        <v>500.81632653061223</v>
      </c>
      <c r="M21" s="42">
        <v>4.5</v>
      </c>
      <c r="N21" s="42">
        <v>29.656708749999993</v>
      </c>
      <c r="O21" s="64">
        <v>1.694669071428571</v>
      </c>
      <c r="P21" s="42">
        <v>9.3825000000000003</v>
      </c>
      <c r="Q21" s="42">
        <v>419.3</v>
      </c>
      <c r="R21" s="42">
        <v>151.47445999999999</v>
      </c>
      <c r="S21" s="42">
        <v>18.118670076726342</v>
      </c>
      <c r="T21" s="43">
        <v>0.70844000000000007</v>
      </c>
      <c r="U21" s="42">
        <v>123.71680000000001</v>
      </c>
      <c r="V21" s="33">
        <v>11</v>
      </c>
      <c r="W21" s="42">
        <v>24.8</v>
      </c>
      <c r="X21" s="42">
        <v>66.400000000000006</v>
      </c>
      <c r="Y21" s="44">
        <v>2.0411522633744856</v>
      </c>
      <c r="Z21" s="44">
        <v>3.3133732534930136</v>
      </c>
      <c r="AA21" s="42">
        <v>524.28952212420609</v>
      </c>
      <c r="AB21" s="42">
        <v>570.77445999999998</v>
      </c>
      <c r="AC21" s="40">
        <v>0.91855813261897901</v>
      </c>
      <c r="AD21" s="40">
        <v>46.484937875793889</v>
      </c>
      <c r="AE21" s="58">
        <v>4.1800656272937724</v>
      </c>
    </row>
    <row r="22" spans="1:31" ht="15" outlineLevel="2" thickTop="1" x14ac:dyDescent="0.3">
      <c r="A22" s="47">
        <v>33077</v>
      </c>
      <c r="B22" s="80" t="s">
        <v>62</v>
      </c>
      <c r="C22" s="81"/>
      <c r="D22" s="95" t="s">
        <v>79</v>
      </c>
      <c r="E22" s="81"/>
      <c r="F22" s="50"/>
      <c r="G22" s="17">
        <f>SUBTOTAL(1,G19:G21)</f>
        <v>133.52333333333334</v>
      </c>
      <c r="H22" s="31">
        <f>SUBTOTAL(1,H19:H21)</f>
        <v>183.66666666666666</v>
      </c>
      <c r="I22" s="56">
        <f>SUBTOTAL(1,I19:I21)</f>
        <v>72.706737691223069</v>
      </c>
      <c r="J22" s="19">
        <f>SUBTOTAL(1,J19:J21)</f>
        <v>2.563333333333333</v>
      </c>
      <c r="K22" s="85">
        <f>SUBTOTAL(1,K19:K21)</f>
        <v>24.016666666666669</v>
      </c>
      <c r="L22" s="85">
        <f>SUBTOTAL(1,L19:L21)</f>
        <v>490.13605442176873</v>
      </c>
      <c r="M22" s="86">
        <f>SUBTOTAL(1,M19:M21)</f>
        <v>4.5666666666666664</v>
      </c>
      <c r="N22" s="86">
        <f>SUBTOTAL(1,N19:N21)</f>
        <v>30.317775316666658</v>
      </c>
      <c r="O22" s="62">
        <f>SUBTOTAL(1,O19:O21)</f>
        <v>1.7324443038095234</v>
      </c>
      <c r="P22" s="86">
        <f>SUBTOTAL(1,P19:P21)</f>
        <v>10.374166666666667</v>
      </c>
      <c r="Q22" s="86">
        <f>SUBTOTAL(1,Q19:Q21)</f>
        <v>409.88333333333327</v>
      </c>
      <c r="R22" s="86">
        <f>SUBTOTAL(1,R19:R21)</f>
        <v>146.14064333333332</v>
      </c>
      <c r="S22" s="86">
        <f>SUBTOTAL(1,S19:S21)</f>
        <v>16.693606138107416</v>
      </c>
      <c r="T22" s="87">
        <f>SUBTOTAL(1,T19:T21)</f>
        <v>0.65271999999999997</v>
      </c>
      <c r="U22" s="86">
        <f>SUBTOTAL(1,U19:U21)</f>
        <v>119.00636666666666</v>
      </c>
      <c r="V22" s="31">
        <f>SUBTOTAL(1,V19:V21)</f>
        <v>10</v>
      </c>
      <c r="W22" s="86">
        <f>SUBTOTAL(1,W19:W21)</f>
        <v>27.066666666666666</v>
      </c>
      <c r="X22" s="86">
        <f>SUBTOTAL(1,X19:X21)</f>
        <v>75.333333333333329</v>
      </c>
      <c r="Y22" s="88">
        <f>SUBTOTAL(1,Y19:Y21)</f>
        <v>2.2277091906721531</v>
      </c>
      <c r="Z22" s="88">
        <f>SUBTOTAL(1,Z19:Z21)</f>
        <v>3.7591483699268129</v>
      </c>
      <c r="AA22" s="86">
        <f>SUBTOTAL(1,AA19:AA21)</f>
        <v>512.81651812047505</v>
      </c>
      <c r="AB22" s="86">
        <f>SUBTOTAL(1,AB19:AB21)</f>
        <v>556.02397666666673</v>
      </c>
      <c r="AC22" s="85">
        <f>SUBTOTAL(1,AC19:AC21)</f>
        <v>0.92234194485919441</v>
      </c>
      <c r="AD22" s="85">
        <f>SUBTOTAL(1,AD19:AD21)</f>
        <v>43.207458546191617</v>
      </c>
      <c r="AE22" s="56">
        <f>SUBTOTAL(1,AE19:AE21)</f>
        <v>4.3880559440715246</v>
      </c>
    </row>
    <row r="23" spans="1:31" ht="15" outlineLevel="1" thickBot="1" x14ac:dyDescent="0.35">
      <c r="A23" s="82">
        <v>33077</v>
      </c>
      <c r="B23" s="79" t="s">
        <v>62</v>
      </c>
      <c r="C23" s="81"/>
      <c r="D23" s="95" t="s">
        <v>76</v>
      </c>
      <c r="E23" s="81"/>
      <c r="F23" s="50"/>
      <c r="G23" s="90">
        <f>SUBTOTAL(7,G19:G21)</f>
        <v>7.9530895464173739</v>
      </c>
      <c r="H23" s="31">
        <f>SUBTOTAL(7,H19:H21)</f>
        <v>8.736894948054104</v>
      </c>
      <c r="I23" s="91">
        <f>SUBTOTAL(7,I19:I21)</f>
        <v>2.9259115216776896</v>
      </c>
      <c r="J23" s="92">
        <f>SUBTOTAL(7,J19:J21)</f>
        <v>5.7735026918961348E-3</v>
      </c>
      <c r="K23" s="93">
        <f>SUBTOTAL(7,K19:K21)</f>
        <v>0.46112182049143191</v>
      </c>
      <c r="L23" s="93">
        <f>SUBTOTAL(7,L19:L21)</f>
        <v>9.4106493977843222</v>
      </c>
      <c r="M23" s="93">
        <f>SUBTOTAL(7,M19:M21)</f>
        <v>5.7735026918962373E-2</v>
      </c>
      <c r="N23" s="93">
        <f>SUBTOTAL(7,N19:N21)</f>
        <v>0.57250044032589253</v>
      </c>
      <c r="O23" s="91">
        <f>SUBTOTAL(7,O19:O21)</f>
        <v>3.2714310875765214E-2</v>
      </c>
      <c r="P23" s="93">
        <f>SUBTOTAL(7,P19:P21)</f>
        <v>0.86614567673881115</v>
      </c>
      <c r="Q23" s="93">
        <f>SUBTOTAL(7,Q19:Q21)</f>
        <v>8.2964349773462107</v>
      </c>
      <c r="R23" s="93">
        <f>SUBTOTAL(7,R19:R21)</f>
        <v>4.8191817642866797</v>
      </c>
      <c r="S23" s="93">
        <f>SUBTOTAL(7,S19:S21)</f>
        <v>1.3349670243847549</v>
      </c>
      <c r="T23" s="93">
        <f>SUBTOTAL(7,T19:T21)</f>
        <v>5.2197210653443939E-2</v>
      </c>
      <c r="U23" s="93">
        <f>SUBTOTAL(7,U19:U21)</f>
        <v>4.3377441376057853</v>
      </c>
      <c r="V23" s="31">
        <f>SUBTOTAL(7,V19:V21)</f>
        <v>1</v>
      </c>
      <c r="W23" s="93">
        <f>SUBTOTAL(7,W19:W21)</f>
        <v>2.0526405757787538</v>
      </c>
      <c r="X23" s="93">
        <f>SUBTOTAL(7,X19:X21)</f>
        <v>7.7390783258301026</v>
      </c>
      <c r="Y23" s="93">
        <f>SUBTOTAL(7,Y19:Y21)</f>
        <v>0.16894161117520595</v>
      </c>
      <c r="Z23" s="93">
        <f>SUBTOTAL(7,Z19:Z21)</f>
        <v>0.38618155318513531</v>
      </c>
      <c r="AA23" s="93">
        <f>SUBTOTAL(7,AA19:AA21)</f>
        <v>10.004139507804993</v>
      </c>
      <c r="AB23" s="93">
        <f>SUBTOTAL(7,AB19:AB21)</f>
        <v>12.775188134709856</v>
      </c>
      <c r="AC23" s="93">
        <f>SUBTOTAL(7,AC19:AC21)</f>
        <v>3.7735012658183485E-3</v>
      </c>
      <c r="AD23" s="93">
        <f>SUBTOTAL(7,AD19:AD21)</f>
        <v>3.0144622686002416</v>
      </c>
      <c r="AE23" s="91">
        <f>SUBTOTAL(7,AE19:AE21)</f>
        <v>0.20605918612714455</v>
      </c>
    </row>
    <row r="24" spans="1:31" ht="15" outlineLevel="3" thickTop="1" x14ac:dyDescent="0.3">
      <c r="A24" s="47">
        <v>33077</v>
      </c>
      <c r="B24" s="80" t="s">
        <v>62</v>
      </c>
      <c r="C24" s="7" t="s">
        <v>43</v>
      </c>
      <c r="D24" s="7" t="s">
        <v>48</v>
      </c>
      <c r="E24" s="3" t="s">
        <v>45</v>
      </c>
      <c r="F24" s="49">
        <v>12</v>
      </c>
      <c r="G24" s="14">
        <v>119.94</v>
      </c>
      <c r="H24" s="2">
        <v>150</v>
      </c>
      <c r="I24" s="55">
        <v>79.959999999999994</v>
      </c>
      <c r="J24" s="15">
        <v>2.57</v>
      </c>
      <c r="K24" s="13">
        <v>24.46</v>
      </c>
      <c r="L24" s="13">
        <v>499.18367346938777</v>
      </c>
      <c r="M24" s="4">
        <v>4.5999999999999996</v>
      </c>
      <c r="N24" s="4">
        <v>30.648308599999993</v>
      </c>
      <c r="O24" s="61">
        <v>1.7513319199999995</v>
      </c>
      <c r="P24" s="4">
        <v>10.307499999999999</v>
      </c>
      <c r="Q24" s="4">
        <v>415.15</v>
      </c>
      <c r="R24" s="4">
        <v>155.82233000000002</v>
      </c>
      <c r="S24" s="4">
        <v>24.429667519181582</v>
      </c>
      <c r="T24" s="16">
        <v>0.95519999999999994</v>
      </c>
      <c r="U24" s="4">
        <v>128.33940000000001</v>
      </c>
      <c r="V24" s="2">
        <v>12</v>
      </c>
      <c r="W24" s="4">
        <v>27.6</v>
      </c>
      <c r="X24" s="4">
        <v>73.2</v>
      </c>
      <c r="Y24" s="5">
        <v>2.2716049382716048</v>
      </c>
      <c r="Z24" s="5">
        <v>3.6526946107784433</v>
      </c>
      <c r="AA24" s="4">
        <v>529.53764053761938</v>
      </c>
      <c r="AB24" s="4">
        <v>570.97233000000006</v>
      </c>
      <c r="AC24" s="13">
        <v>0.92743135300027468</v>
      </c>
      <c r="AD24" s="13">
        <v>41.434689462380675</v>
      </c>
      <c r="AE24" s="55">
        <v>3.1892028386725304</v>
      </c>
    </row>
    <row r="25" spans="1:31" ht="15" outlineLevel="3" thickBot="1" x14ac:dyDescent="0.35">
      <c r="A25" s="82">
        <v>33077</v>
      </c>
      <c r="B25" s="79" t="s">
        <v>62</v>
      </c>
      <c r="C25" s="3" t="s">
        <v>43</v>
      </c>
      <c r="D25" s="3" t="s">
        <v>48</v>
      </c>
      <c r="E25" s="7" t="s">
        <v>46</v>
      </c>
      <c r="F25" s="50">
        <v>13</v>
      </c>
      <c r="G25" s="17">
        <v>142.72999999999999</v>
      </c>
      <c r="H25" s="6">
        <v>181</v>
      </c>
      <c r="I25" s="56">
        <v>78.856353591160214</v>
      </c>
      <c r="J25" s="19">
        <v>2.59</v>
      </c>
      <c r="K25" s="18">
        <v>23.65</v>
      </c>
      <c r="L25" s="18">
        <v>482.65306122448976</v>
      </c>
      <c r="M25" s="20">
        <v>4.5</v>
      </c>
      <c r="N25" s="20">
        <v>29.656708749999993</v>
      </c>
      <c r="O25" s="62">
        <v>1.694669071428571</v>
      </c>
      <c r="P25" s="20">
        <v>9.8800000000000008</v>
      </c>
      <c r="Q25" s="20">
        <v>394.65</v>
      </c>
      <c r="R25" s="20">
        <v>158.49003000000002</v>
      </c>
      <c r="S25" s="20">
        <v>26.669053708439897</v>
      </c>
      <c r="T25" s="21">
        <v>1.0427599999999999</v>
      </c>
      <c r="U25" s="20">
        <v>132.36420000000001</v>
      </c>
      <c r="V25" s="6">
        <v>13</v>
      </c>
      <c r="W25" s="20">
        <v>26.8</v>
      </c>
      <c r="X25" s="20">
        <v>84</v>
      </c>
      <c r="Y25" s="22">
        <v>2.2057613168724282</v>
      </c>
      <c r="Z25" s="22">
        <v>4.1916167664670665</v>
      </c>
      <c r="AA25" s="20">
        <v>515.71949301626921</v>
      </c>
      <c r="AB25" s="20">
        <v>553.14003000000002</v>
      </c>
      <c r="AC25" s="18">
        <v>0.93234889005640975</v>
      </c>
      <c r="AD25" s="18">
        <v>37.420536983730813</v>
      </c>
      <c r="AE25" s="56">
        <v>2.971422078426484</v>
      </c>
    </row>
    <row r="26" spans="1:31" ht="15" outlineLevel="3" thickTop="1" x14ac:dyDescent="0.3">
      <c r="A26" s="47">
        <v>33077</v>
      </c>
      <c r="B26" s="80" t="s">
        <v>62</v>
      </c>
      <c r="C26" s="3" t="s">
        <v>43</v>
      </c>
      <c r="D26" s="7" t="s">
        <v>48</v>
      </c>
      <c r="E26" s="7" t="s">
        <v>47</v>
      </c>
      <c r="F26" s="50">
        <v>14</v>
      </c>
      <c r="G26" s="17">
        <v>152.88</v>
      </c>
      <c r="H26" s="6">
        <v>190</v>
      </c>
      <c r="I26" s="56">
        <v>80.463157894736838</v>
      </c>
      <c r="J26" s="19">
        <v>2.61</v>
      </c>
      <c r="K26" s="18">
        <v>23.35</v>
      </c>
      <c r="L26" s="18">
        <v>476.53061224489801</v>
      </c>
      <c r="M26" s="20">
        <v>4.8</v>
      </c>
      <c r="N26" s="20">
        <v>32.6338984</v>
      </c>
      <c r="O26" s="62">
        <v>1.8647941942857142</v>
      </c>
      <c r="P26" s="20">
        <v>12.965</v>
      </c>
      <c r="Q26" s="20">
        <v>388.3</v>
      </c>
      <c r="R26" s="20">
        <v>158.72986</v>
      </c>
      <c r="S26" s="20">
        <v>24.226086956521737</v>
      </c>
      <c r="T26" s="21">
        <v>0.94723999999999997</v>
      </c>
      <c r="U26" s="20">
        <v>133.02440000000001</v>
      </c>
      <c r="V26" s="6">
        <v>14</v>
      </c>
      <c r="W26" s="20">
        <v>24.8</v>
      </c>
      <c r="X26" s="20">
        <v>85.2</v>
      </c>
      <c r="Y26" s="22">
        <v>2.0411522633744856</v>
      </c>
      <c r="Z26" s="22">
        <v>4.2514970059880239</v>
      </c>
      <c r="AA26" s="20">
        <v>507.04934847078226</v>
      </c>
      <c r="AB26" s="20">
        <v>547.02985999999999</v>
      </c>
      <c r="AC26" s="18">
        <v>0.92691347501721799</v>
      </c>
      <c r="AD26" s="18">
        <v>39.980511529217722</v>
      </c>
      <c r="AE26" s="56">
        <v>3.2760111091170141</v>
      </c>
    </row>
    <row r="27" spans="1:31" ht="15" outlineLevel="2" thickBot="1" x14ac:dyDescent="0.35">
      <c r="A27" s="82">
        <v>33077</v>
      </c>
      <c r="B27" s="79" t="s">
        <v>62</v>
      </c>
      <c r="C27" s="3"/>
      <c r="D27" s="89" t="s">
        <v>80</v>
      </c>
      <c r="E27" s="7"/>
      <c r="F27" s="50"/>
      <c r="G27" s="17">
        <f>SUBTOTAL(1,G24:G26)</f>
        <v>138.51666666666665</v>
      </c>
      <c r="H27" s="6">
        <f>SUBTOTAL(1,H24:H26)</f>
        <v>173.66666666666666</v>
      </c>
      <c r="I27" s="56">
        <f>SUBTOTAL(1,I24:I26)</f>
        <v>79.759837161965677</v>
      </c>
      <c r="J27" s="19">
        <f>SUBTOTAL(1,J24:J26)</f>
        <v>2.59</v>
      </c>
      <c r="K27" s="18">
        <f>SUBTOTAL(1,K24:K26)</f>
        <v>23.820000000000004</v>
      </c>
      <c r="L27" s="18">
        <f>SUBTOTAL(1,L24:L26)</f>
        <v>486.12244897959187</v>
      </c>
      <c r="M27" s="20">
        <f>SUBTOTAL(1,M24:M26)</f>
        <v>4.6333333333333329</v>
      </c>
      <c r="N27" s="20">
        <f>SUBTOTAL(1,N24:N26)</f>
        <v>30.979638583333326</v>
      </c>
      <c r="O27" s="62">
        <f>SUBTOTAL(1,O24:O26)</f>
        <v>1.7702650619047615</v>
      </c>
      <c r="P27" s="20">
        <f>SUBTOTAL(1,P24:P26)</f>
        <v>11.050833333333335</v>
      </c>
      <c r="Q27" s="20">
        <f>SUBTOTAL(1,Q24:Q26)</f>
        <v>399.36666666666662</v>
      </c>
      <c r="R27" s="20">
        <f>SUBTOTAL(1,R24:R26)</f>
        <v>157.68074000000001</v>
      </c>
      <c r="S27" s="20">
        <f>SUBTOTAL(1,S24:S26)</f>
        <v>25.108269394714409</v>
      </c>
      <c r="T27" s="21">
        <f>SUBTOTAL(1,T24:T26)</f>
        <v>0.98173333333333324</v>
      </c>
      <c r="U27" s="20">
        <f>SUBTOTAL(1,U24:U26)</f>
        <v>131.24266666666668</v>
      </c>
      <c r="V27" s="6">
        <f>SUBTOTAL(1,V24:V26)</f>
        <v>13</v>
      </c>
      <c r="W27" s="20">
        <f>SUBTOTAL(1,W24:W26)</f>
        <v>26.400000000000002</v>
      </c>
      <c r="X27" s="20">
        <f>SUBTOTAL(1,X24:X26)</f>
        <v>80.8</v>
      </c>
      <c r="Y27" s="22">
        <f>SUBTOTAL(1,Y24:Y26)</f>
        <v>2.1728395061728398</v>
      </c>
      <c r="Z27" s="22">
        <f>SUBTOTAL(1,Z24:Z26)</f>
        <v>4.0319361277445109</v>
      </c>
      <c r="AA27" s="20">
        <f>SUBTOTAL(1,AA24:AA26)</f>
        <v>517.4354940082236</v>
      </c>
      <c r="AB27" s="20">
        <f>SUBTOTAL(1,AB24:AB26)</f>
        <v>557.04740666666669</v>
      </c>
      <c r="AC27" s="18">
        <f>SUBTOTAL(1,AC24:AC26)</f>
        <v>0.92889790602463407</v>
      </c>
      <c r="AD27" s="18">
        <f>SUBTOTAL(1,AD24:AD26)</f>
        <v>39.611912658443067</v>
      </c>
      <c r="AE27" s="56">
        <f>SUBTOTAL(1,AE24:AE26)</f>
        <v>3.1455453420720096</v>
      </c>
    </row>
    <row r="28" spans="1:31" ht="15" outlineLevel="1" thickTop="1" x14ac:dyDescent="0.3">
      <c r="A28" s="47">
        <v>33077</v>
      </c>
      <c r="B28" s="80" t="s">
        <v>62</v>
      </c>
      <c r="C28" s="3"/>
      <c r="D28" s="89" t="s">
        <v>77</v>
      </c>
      <c r="E28" s="7"/>
      <c r="F28" s="50"/>
      <c r="G28" s="90">
        <f>SUBTOTAL(7,G24:G26)</f>
        <v>16.86935189428845</v>
      </c>
      <c r="H28" s="6">
        <f>SUBTOTAL(7,H24:H26)</f>
        <v>20.984120980716188</v>
      </c>
      <c r="I28" s="91">
        <f>SUBTOTAL(7,I24:I26)</f>
        <v>0.82189043600443012</v>
      </c>
      <c r="J28" s="92">
        <f>SUBTOTAL(7,J24:J26)</f>
        <v>2.0000000000000018E-2</v>
      </c>
      <c r="K28" s="94">
        <f>SUBTOTAL(7,K24:K26)</f>
        <v>0.57419508879822378</v>
      </c>
      <c r="L28" s="94">
        <f>SUBTOTAL(7,L24:L26)</f>
        <v>11.71826711833109</v>
      </c>
      <c r="M28" s="94">
        <f>SUBTOTAL(7,M24:M26)</f>
        <v>0.15275252316519461</v>
      </c>
      <c r="N28" s="94">
        <f>SUBTOTAL(7,N24:N26)</f>
        <v>1.515997764315153</v>
      </c>
      <c r="O28" s="91">
        <f>SUBTOTAL(7,O24:O26)</f>
        <v>8.6628443675151587E-2</v>
      </c>
      <c r="P28" s="94">
        <f>SUBTOTAL(7,P24:P26)</f>
        <v>1.6714408704268595</v>
      </c>
      <c r="Q28" s="94">
        <f>SUBTOTAL(7,Q24:Q26)</f>
        <v>14.032670213944778</v>
      </c>
      <c r="R28" s="94">
        <f>SUBTOTAL(7,R24:R26)</f>
        <v>1.6138913852239178</v>
      </c>
      <c r="S28" s="94">
        <f>SUBTOTAL(7,S24:S26)</f>
        <v>1.3555061847339134</v>
      </c>
      <c r="T28" s="94">
        <f>SUBTOTAL(7,T24:T26)</f>
        <v>5.3000291823095944E-2</v>
      </c>
      <c r="U28" s="94">
        <f>SUBTOTAL(7,U24:U26)</f>
        <v>2.5358793372976831</v>
      </c>
      <c r="V28" s="6">
        <f>SUBTOTAL(7,V24:V26)</f>
        <v>1</v>
      </c>
      <c r="W28" s="94">
        <f>SUBTOTAL(7,W24:W26)</f>
        <v>1.442220510185596</v>
      </c>
      <c r="X28" s="94">
        <f>SUBTOTAL(7,X24:X26)</f>
        <v>6.6090846567433221</v>
      </c>
      <c r="Y28" s="94">
        <f>SUBTOTAL(7,Y24:Y26)</f>
        <v>0.1187012765584852</v>
      </c>
      <c r="Z28" s="94">
        <f>SUBTOTAL(7,Z24:Z26)</f>
        <v>0.32979464355006605</v>
      </c>
      <c r="AA28" s="94">
        <f>SUBTOTAL(7,AA24:AA26)</f>
        <v>11.341927286582898</v>
      </c>
      <c r="AB28" s="94">
        <f>SUBTOTAL(7,AB24:AB26)</f>
        <v>12.440303924608681</v>
      </c>
      <c r="AC28" s="94">
        <f>SUBTOTAL(7,AC24:AC26)</f>
        <v>2.999836244199239E-3</v>
      </c>
      <c r="AD28" s="94">
        <f>SUBTOTAL(7,AD24:AD26)</f>
        <v>2.0323026044649377</v>
      </c>
      <c r="AE28" s="91">
        <f>SUBTOTAL(7,AE24:AE26)</f>
        <v>0.15691750113138286</v>
      </c>
    </row>
    <row r="29" spans="1:31" ht="15" outlineLevel="3" thickBot="1" x14ac:dyDescent="0.35">
      <c r="A29" s="82">
        <v>33077</v>
      </c>
      <c r="B29" s="79" t="s">
        <v>62</v>
      </c>
      <c r="C29" s="3" t="s">
        <v>43</v>
      </c>
      <c r="D29" s="7" t="s">
        <v>49</v>
      </c>
      <c r="E29" s="23" t="s">
        <v>45</v>
      </c>
      <c r="F29" s="52">
        <v>15</v>
      </c>
      <c r="G29" s="25">
        <v>144.16</v>
      </c>
      <c r="H29" s="24">
        <v>175</v>
      </c>
      <c r="I29" s="57">
        <v>82.377142857142857</v>
      </c>
      <c r="J29" s="27">
        <v>2.6</v>
      </c>
      <c r="K29" s="26">
        <v>23.81</v>
      </c>
      <c r="L29" s="26">
        <v>485.91836734693879</v>
      </c>
      <c r="M29" s="28">
        <v>4.4000000000000004</v>
      </c>
      <c r="N29" s="28">
        <v>28.665905600000002</v>
      </c>
      <c r="O29" s="63">
        <v>1.6380517485714288</v>
      </c>
      <c r="P29" s="28">
        <v>8.3524999999999991</v>
      </c>
      <c r="Q29" s="28">
        <v>404.4</v>
      </c>
      <c r="R29" s="28">
        <v>152.78317999999999</v>
      </c>
      <c r="S29" s="28">
        <v>26.872634271099745</v>
      </c>
      <c r="T29" s="29">
        <v>1.0507200000000001</v>
      </c>
      <c r="U29" s="28">
        <v>126.0119</v>
      </c>
      <c r="V29" s="24">
        <v>15</v>
      </c>
      <c r="W29" s="28">
        <v>26</v>
      </c>
      <c r="X29" s="28">
        <v>78.8</v>
      </c>
      <c r="Y29" s="30">
        <v>2.1399176954732511</v>
      </c>
      <c r="Z29" s="30">
        <v>3.9321357285429142</v>
      </c>
      <c r="AA29" s="28">
        <v>518.86305504205473</v>
      </c>
      <c r="AB29" s="28">
        <v>557.18317999999999</v>
      </c>
      <c r="AC29" s="26">
        <v>0.93122526606430356</v>
      </c>
      <c r="AD29" s="26">
        <v>38.320124957945268</v>
      </c>
      <c r="AE29" s="57">
        <v>2.8427280046063648</v>
      </c>
    </row>
    <row r="30" spans="1:31" ht="15" outlineLevel="3" thickTop="1" x14ac:dyDescent="0.3">
      <c r="A30" s="47">
        <v>33077</v>
      </c>
      <c r="B30" s="80" t="s">
        <v>62</v>
      </c>
      <c r="C30" s="7" t="s">
        <v>43</v>
      </c>
      <c r="D30" s="7" t="s">
        <v>49</v>
      </c>
      <c r="E30" s="7" t="s">
        <v>46</v>
      </c>
      <c r="F30" s="50">
        <v>16</v>
      </c>
      <c r="G30" s="17">
        <v>143.54</v>
      </c>
      <c r="H30" s="6">
        <v>178</v>
      </c>
      <c r="I30" s="56">
        <v>80.640449438202239</v>
      </c>
      <c r="J30" s="19">
        <v>2.62</v>
      </c>
      <c r="K30" s="18">
        <v>23.98</v>
      </c>
      <c r="L30" s="18">
        <v>489.38775510204079</v>
      </c>
      <c r="M30" s="20">
        <v>4.9000000000000004</v>
      </c>
      <c r="N30" s="20">
        <v>33.627888349999999</v>
      </c>
      <c r="O30" s="62">
        <v>1.9215936199999999</v>
      </c>
      <c r="P30" s="20">
        <v>13.54</v>
      </c>
      <c r="Q30" s="20">
        <v>406.3</v>
      </c>
      <c r="R30" s="20">
        <v>159.76776000000001</v>
      </c>
      <c r="S30" s="20">
        <v>29.926342710997439</v>
      </c>
      <c r="T30" s="21">
        <v>1.1701199999999998</v>
      </c>
      <c r="U30" s="20">
        <v>132.8707</v>
      </c>
      <c r="V30" s="6">
        <v>16</v>
      </c>
      <c r="W30" s="20">
        <v>26.4</v>
      </c>
      <c r="X30" s="20">
        <v>78.400000000000006</v>
      </c>
      <c r="Y30" s="22">
        <v>2.1728395061728398</v>
      </c>
      <c r="Z30" s="22">
        <v>3.9121756487025952</v>
      </c>
      <c r="AA30" s="20">
        <v>525.39911296791365</v>
      </c>
      <c r="AB30" s="20">
        <v>566.06776000000002</v>
      </c>
      <c r="AC30" s="18">
        <v>0.92815586771434155</v>
      </c>
      <c r="AD30" s="18">
        <v>40.668647032086369</v>
      </c>
      <c r="AE30" s="56">
        <v>2.6693499025740954</v>
      </c>
    </row>
    <row r="31" spans="1:31" ht="15" outlineLevel="3" thickBot="1" x14ac:dyDescent="0.35">
      <c r="A31" s="82">
        <v>33077</v>
      </c>
      <c r="B31" s="79" t="s">
        <v>62</v>
      </c>
      <c r="C31" s="81" t="s">
        <v>43</v>
      </c>
      <c r="D31" s="81" t="s">
        <v>49</v>
      </c>
      <c r="E31" s="81" t="s">
        <v>47</v>
      </c>
      <c r="F31" s="50">
        <v>17</v>
      </c>
      <c r="G31" s="17">
        <v>124.63</v>
      </c>
      <c r="H31" s="31">
        <v>158</v>
      </c>
      <c r="I31" s="56">
        <v>78.879746835443029</v>
      </c>
      <c r="J31" s="19">
        <v>2.62</v>
      </c>
      <c r="K31" s="85">
        <v>23.47</v>
      </c>
      <c r="L31" s="85">
        <v>478.97959183673464</v>
      </c>
      <c r="M31" s="86">
        <v>4.4000000000000004</v>
      </c>
      <c r="N31" s="86">
        <v>28.665905600000002</v>
      </c>
      <c r="O31" s="62">
        <v>1.6380517485714288</v>
      </c>
      <c r="P31" s="86">
        <v>9.2424999999999997</v>
      </c>
      <c r="Q31" s="86">
        <v>390.65</v>
      </c>
      <c r="R31" s="86">
        <v>160.99223000000001</v>
      </c>
      <c r="S31" s="86">
        <v>29.315601023017901</v>
      </c>
      <c r="T31" s="87">
        <v>1.1462399999999999</v>
      </c>
      <c r="U31" s="86">
        <v>135.13120000000001</v>
      </c>
      <c r="V31" s="31">
        <v>17</v>
      </c>
      <c r="W31" s="86">
        <v>27.6</v>
      </c>
      <c r="X31" s="86">
        <v>79.599999999999994</v>
      </c>
      <c r="Y31" s="88">
        <v>2.2716049382716048</v>
      </c>
      <c r="Z31" s="88">
        <v>3.9720558882235526</v>
      </c>
      <c r="AA31" s="86">
        <v>514.53885368624765</v>
      </c>
      <c r="AB31" s="86">
        <v>551.64222999999993</v>
      </c>
      <c r="AC31" s="85">
        <v>0.93274014515938652</v>
      </c>
      <c r="AD31" s="85">
        <v>37.103376313752278</v>
      </c>
      <c r="AE31" s="56">
        <v>2.745845631368649</v>
      </c>
    </row>
    <row r="32" spans="1:31" ht="15" outlineLevel="2" thickTop="1" x14ac:dyDescent="0.3">
      <c r="A32" s="47">
        <v>33077</v>
      </c>
      <c r="B32" s="80" t="s">
        <v>62</v>
      </c>
      <c r="C32" s="81"/>
      <c r="D32" s="95" t="s">
        <v>81</v>
      </c>
      <c r="E32" s="81"/>
      <c r="F32" s="50"/>
      <c r="G32" s="17">
        <f>SUBTOTAL(1,G29:G31)</f>
        <v>137.44333333333333</v>
      </c>
      <c r="H32" s="31">
        <f>SUBTOTAL(1,H29:H31)</f>
        <v>170.33333333333334</v>
      </c>
      <c r="I32" s="56">
        <f>SUBTOTAL(1,I29:I31)</f>
        <v>80.632446376929366</v>
      </c>
      <c r="J32" s="19">
        <f>SUBTOTAL(1,J29:J31)</f>
        <v>2.6133333333333337</v>
      </c>
      <c r="K32" s="85">
        <f>SUBTOTAL(1,K29:K31)</f>
        <v>23.75333333333333</v>
      </c>
      <c r="L32" s="85">
        <f>SUBTOTAL(1,L29:L31)</f>
        <v>484.76190476190476</v>
      </c>
      <c r="M32" s="86">
        <f>SUBTOTAL(1,M29:M31)</f>
        <v>4.5666666666666673</v>
      </c>
      <c r="N32" s="86">
        <f>SUBTOTAL(1,N29:N31)</f>
        <v>30.319899850000002</v>
      </c>
      <c r="O32" s="62">
        <f>SUBTOTAL(1,O29:O31)</f>
        <v>1.7325657057142856</v>
      </c>
      <c r="P32" s="86">
        <f>SUBTOTAL(1,P29:P31)</f>
        <v>10.378333333333332</v>
      </c>
      <c r="Q32" s="86">
        <f>SUBTOTAL(1,Q29:Q31)</f>
        <v>400.45</v>
      </c>
      <c r="R32" s="86">
        <f>SUBTOTAL(1,R29:R31)</f>
        <v>157.84772333333333</v>
      </c>
      <c r="S32" s="86">
        <f>SUBTOTAL(1,S29:S31)</f>
        <v>28.704859335038364</v>
      </c>
      <c r="T32" s="87">
        <f>SUBTOTAL(1,T29:T31)</f>
        <v>1.1223599999999998</v>
      </c>
      <c r="U32" s="86">
        <f>SUBTOTAL(1,U29:U31)</f>
        <v>131.33793333333335</v>
      </c>
      <c r="V32" s="31">
        <f>SUBTOTAL(1,V29:V31)</f>
        <v>16</v>
      </c>
      <c r="W32" s="86">
        <f>SUBTOTAL(1,W29:W31)</f>
        <v>26.666666666666668</v>
      </c>
      <c r="X32" s="86">
        <f>SUBTOTAL(1,X29:X31)</f>
        <v>78.933333333333323</v>
      </c>
      <c r="Y32" s="88">
        <f>SUBTOTAL(1,Y29:Y31)</f>
        <v>2.1947873799725652</v>
      </c>
      <c r="Z32" s="88">
        <f>SUBTOTAL(1,Z29:Z31)</f>
        <v>3.938789088489687</v>
      </c>
      <c r="AA32" s="86">
        <f>SUBTOTAL(1,AA29:AA31)</f>
        <v>519.6003405654053</v>
      </c>
      <c r="AB32" s="86">
        <f>SUBTOTAL(1,AB29:AB31)</f>
        <v>558.29772333333324</v>
      </c>
      <c r="AC32" s="85">
        <f>SUBTOTAL(1,AC29:AC31)</f>
        <v>0.93070709297934384</v>
      </c>
      <c r="AD32" s="85">
        <f>SUBTOTAL(1,AD29:AD31)</f>
        <v>38.697382767927969</v>
      </c>
      <c r="AE32" s="56">
        <f>SUBTOTAL(1,AE29:AE31)</f>
        <v>2.7526411795163699</v>
      </c>
    </row>
    <row r="33" spans="1:31" ht="15" outlineLevel="1" thickBot="1" x14ac:dyDescent="0.35">
      <c r="A33" s="82">
        <v>33077</v>
      </c>
      <c r="B33" s="79" t="s">
        <v>62</v>
      </c>
      <c r="C33" s="81"/>
      <c r="D33" s="95" t="s">
        <v>78</v>
      </c>
      <c r="E33" s="81"/>
      <c r="F33" s="50"/>
      <c r="G33" s="90">
        <f>SUBTOTAL(7,G29:G31)</f>
        <v>11.101001456325159</v>
      </c>
      <c r="H33" s="31">
        <f>SUBTOTAL(7,H29:H31)</f>
        <v>10.785793124908958</v>
      </c>
      <c r="I33" s="91">
        <f>SUBTOTAL(7,I29:I31)</f>
        <v>1.7487117457982457</v>
      </c>
      <c r="J33" s="92">
        <f>SUBTOTAL(7,J29:J31)</f>
        <v>1.1547005383792526E-2</v>
      </c>
      <c r="K33" s="93">
        <f>SUBTOTAL(7,K29:K31)</f>
        <v>0.25967928938083162</v>
      </c>
      <c r="L33" s="93">
        <f>SUBTOTAL(7,L29:L31)</f>
        <v>5.2995773343026888</v>
      </c>
      <c r="M33" s="93">
        <f>SUBTOTAL(7,M29:M31)</f>
        <v>0.28867513459481287</v>
      </c>
      <c r="N33" s="93">
        <f>SUBTOTAL(7,N29:N31)</f>
        <v>2.8648020764267779</v>
      </c>
      <c r="O33" s="91">
        <f>SUBTOTAL(7,O29:O31)</f>
        <v>0.1637029757958158</v>
      </c>
      <c r="P33" s="93">
        <f>SUBTOTAL(7,P29:P31)</f>
        <v>2.7740092075069516</v>
      </c>
      <c r="Q33" s="93">
        <f>SUBTOTAL(7,Q29:Q31)</f>
        <v>8.5400526930458813</v>
      </c>
      <c r="R33" s="93">
        <f>SUBTOTAL(7,R29:R31)</f>
        <v>4.4285472873882057</v>
      </c>
      <c r="S33" s="93">
        <f>SUBTOTAL(7,S29:S31)</f>
        <v>1.615870621693666</v>
      </c>
      <c r="T33" s="93">
        <f>SUBTOTAL(7,T29:T31)</f>
        <v>6.3180541308222288E-2</v>
      </c>
      <c r="U33" s="93">
        <f>SUBTOTAL(7,U29:U31)</f>
        <v>4.748940762247237</v>
      </c>
      <c r="V33" s="31">
        <f>SUBTOTAL(7,V29:V31)</f>
        <v>1</v>
      </c>
      <c r="W33" s="93">
        <f>SUBTOTAL(7,W29:W31)</f>
        <v>0.83266639978645407</v>
      </c>
      <c r="X33" s="93">
        <f>SUBTOTAL(7,X29:X31)</f>
        <v>0.61101009266077344</v>
      </c>
      <c r="Y33" s="93">
        <f>SUBTOTAL(7,Y29:Y31)</f>
        <v>6.853221397419354E-2</v>
      </c>
      <c r="Z33" s="93">
        <f>SUBTOTAL(7,Z29:Z31)</f>
        <v>3.0489525581874875E-2</v>
      </c>
      <c r="AA33" s="93">
        <f>SUBTOTAL(7,AA29:AA31)</f>
        <v>5.4675406147060253</v>
      </c>
      <c r="AB33" s="93">
        <f>SUBTOTAL(7,AB29:AB31)</f>
        <v>7.277062187217723</v>
      </c>
      <c r="AC33" s="93">
        <f>SUBTOTAL(7,AC29:AC31)</f>
        <v>2.3356535344030553E-3</v>
      </c>
      <c r="AD33" s="93">
        <f>SUBTOTAL(7,AD29:AD31)</f>
        <v>1.812327623567916</v>
      </c>
      <c r="AE33" s="91">
        <f>SUBTOTAL(7,AE29:AE31)</f>
        <v>8.6888584820153394E-2</v>
      </c>
    </row>
    <row r="34" spans="1:31" ht="15" outlineLevel="3" thickTop="1" x14ac:dyDescent="0.3">
      <c r="A34" s="47">
        <v>33084</v>
      </c>
      <c r="B34" s="80" t="s">
        <v>63</v>
      </c>
      <c r="C34" s="7" t="s">
        <v>43</v>
      </c>
      <c r="D34" s="7" t="s">
        <v>44</v>
      </c>
      <c r="E34" s="7" t="s">
        <v>45</v>
      </c>
      <c r="F34" s="50">
        <v>9</v>
      </c>
      <c r="G34" s="17">
        <v>139.71</v>
      </c>
      <c r="H34" s="6">
        <v>191</v>
      </c>
      <c r="I34" s="56">
        <v>73.146596858638745</v>
      </c>
      <c r="J34" s="19">
        <v>2.57</v>
      </c>
      <c r="K34" s="18">
        <v>22.28</v>
      </c>
      <c r="L34" s="18">
        <v>454.69387755102042</v>
      </c>
      <c r="M34" s="20">
        <v>6</v>
      </c>
      <c r="N34" s="20">
        <v>44.614359999999998</v>
      </c>
      <c r="O34" s="62">
        <v>2.5493919999999997</v>
      </c>
      <c r="P34" s="20">
        <v>26.324999999999999</v>
      </c>
      <c r="Q34" s="20">
        <v>391.2</v>
      </c>
      <c r="R34" s="20">
        <v>132.86514</v>
      </c>
      <c r="S34" s="20">
        <v>16.490025575447568</v>
      </c>
      <c r="T34" s="21">
        <v>0.64476</v>
      </c>
      <c r="U34" s="20">
        <v>106.96769999999999</v>
      </c>
      <c r="V34" s="6">
        <v>9</v>
      </c>
      <c r="W34" s="20">
        <v>26</v>
      </c>
      <c r="X34" s="20">
        <v>98.4</v>
      </c>
      <c r="Y34" s="22">
        <v>2.1399176954732511</v>
      </c>
      <c r="Z34" s="22">
        <v>4.9101796407185629</v>
      </c>
      <c r="AA34" s="20">
        <v>478.23400046265982</v>
      </c>
      <c r="AB34" s="20">
        <v>524.06513999999993</v>
      </c>
      <c r="AC34" s="18">
        <v>0.9125468648089432</v>
      </c>
      <c r="AD34" s="18">
        <v>45.831139537340107</v>
      </c>
      <c r="AE34" s="56">
        <v>4.0286517262237114</v>
      </c>
    </row>
    <row r="35" spans="1:31" outlineLevel="3" x14ac:dyDescent="0.3">
      <c r="A35" s="47">
        <v>33084</v>
      </c>
      <c r="B35" s="80" t="s">
        <v>63</v>
      </c>
      <c r="C35" s="7" t="s">
        <v>43</v>
      </c>
      <c r="D35" s="7" t="s">
        <v>44</v>
      </c>
      <c r="E35" s="23" t="s">
        <v>46</v>
      </c>
      <c r="F35" s="52">
        <v>10</v>
      </c>
      <c r="G35" s="25">
        <v>126.06</v>
      </c>
      <c r="H35" s="24">
        <v>162</v>
      </c>
      <c r="I35" s="57">
        <v>77.81481481481481</v>
      </c>
      <c r="J35" s="27">
        <v>2.57</v>
      </c>
      <c r="K35" s="26">
        <v>22.58</v>
      </c>
      <c r="L35" s="26">
        <v>460.81632653061223</v>
      </c>
      <c r="M35" s="28">
        <v>5.4</v>
      </c>
      <c r="N35" s="28">
        <v>38.609788600000002</v>
      </c>
      <c r="O35" s="63">
        <v>2.2062736342857145</v>
      </c>
      <c r="P35" s="28">
        <v>21.672499999999999</v>
      </c>
      <c r="Q35" s="28">
        <v>393.15</v>
      </c>
      <c r="R35" s="28">
        <v>133.07503</v>
      </c>
      <c r="S35" s="28">
        <v>17.100767263427109</v>
      </c>
      <c r="T35" s="29">
        <v>0.66864000000000001</v>
      </c>
      <c r="U35" s="28">
        <v>107.0485</v>
      </c>
      <c r="V35" s="24">
        <v>10</v>
      </c>
      <c r="W35" s="28">
        <v>24</v>
      </c>
      <c r="X35" s="28">
        <v>86</v>
      </c>
      <c r="Y35" s="30">
        <v>1.9753086419753085</v>
      </c>
      <c r="Z35" s="30">
        <v>4.2914171656686628</v>
      </c>
      <c r="AA35" s="28">
        <v>484.1838196016833</v>
      </c>
      <c r="AB35" s="28">
        <v>526.22502999999995</v>
      </c>
      <c r="AC35" s="26">
        <v>0.92010792341383563</v>
      </c>
      <c r="AD35" s="26">
        <v>42.04121039831665</v>
      </c>
      <c r="AE35" s="57">
        <v>3.8909081665769323</v>
      </c>
    </row>
    <row r="36" spans="1:31" outlineLevel="3" x14ac:dyDescent="0.3">
      <c r="A36" s="47">
        <v>33084</v>
      </c>
      <c r="B36" s="80" t="s">
        <v>63</v>
      </c>
      <c r="C36" s="7" t="s">
        <v>43</v>
      </c>
      <c r="D36" s="7" t="s">
        <v>44</v>
      </c>
      <c r="E36" s="7" t="s">
        <v>47</v>
      </c>
      <c r="F36" s="50">
        <v>11</v>
      </c>
      <c r="G36" s="17">
        <v>143.35</v>
      </c>
      <c r="H36" s="6">
        <v>177</v>
      </c>
      <c r="I36" s="56">
        <v>80.988700564971751</v>
      </c>
      <c r="J36" s="19">
        <v>2.6</v>
      </c>
      <c r="K36" s="18">
        <v>22.06</v>
      </c>
      <c r="L36" s="18">
        <v>450.20408163265301</v>
      </c>
      <c r="M36" s="20">
        <v>6.6</v>
      </c>
      <c r="N36" s="20">
        <v>50.647612599999995</v>
      </c>
      <c r="O36" s="62">
        <v>2.8941492914285711</v>
      </c>
      <c r="P36" s="20">
        <v>31.574999999999999</v>
      </c>
      <c r="Q36" s="20">
        <v>375.7</v>
      </c>
      <c r="R36" s="20">
        <v>138.91314</v>
      </c>
      <c r="S36" s="20">
        <v>20.154475703324806</v>
      </c>
      <c r="T36" s="21">
        <v>0.78803999999999996</v>
      </c>
      <c r="U36" s="20">
        <v>114.04179999999999</v>
      </c>
      <c r="V36" s="6">
        <v>11</v>
      </c>
      <c r="W36" s="20">
        <v>25.2</v>
      </c>
      <c r="X36" s="20">
        <v>84.4</v>
      </c>
      <c r="Y36" s="22">
        <v>2.074074074074074</v>
      </c>
      <c r="Z36" s="22">
        <v>4.211576846307385</v>
      </c>
      <c r="AA36" s="20">
        <v>476.64420825635926</v>
      </c>
      <c r="AB36" s="20">
        <v>514.61313999999993</v>
      </c>
      <c r="AC36" s="18">
        <v>0.92621849542427026</v>
      </c>
      <c r="AD36" s="18">
        <v>37.968931743640667</v>
      </c>
      <c r="AE36" s="56">
        <v>3.4462107088472669</v>
      </c>
    </row>
    <row r="37" spans="1:31" outlineLevel="2" x14ac:dyDescent="0.3">
      <c r="A37" s="47">
        <v>33084</v>
      </c>
      <c r="B37" s="80" t="s">
        <v>63</v>
      </c>
      <c r="C37" s="7"/>
      <c r="D37" s="89" t="s">
        <v>79</v>
      </c>
      <c r="E37" s="7"/>
      <c r="F37" s="50"/>
      <c r="G37" s="17">
        <f>SUBTOTAL(1,G34:G36)</f>
        <v>136.37333333333333</v>
      </c>
      <c r="H37" s="6">
        <f>SUBTOTAL(1,H34:H36)</f>
        <v>176.66666666666666</v>
      </c>
      <c r="I37" s="56">
        <f>SUBTOTAL(1,I34:I36)</f>
        <v>77.316704079475087</v>
      </c>
      <c r="J37" s="19">
        <f>SUBTOTAL(1,J34:J36)</f>
        <v>2.58</v>
      </c>
      <c r="K37" s="18">
        <f>SUBTOTAL(1,K34:K36)</f>
        <v>22.306666666666668</v>
      </c>
      <c r="L37" s="18">
        <f>SUBTOTAL(1,L34:L36)</f>
        <v>455.23809523809524</v>
      </c>
      <c r="M37" s="20">
        <f>SUBTOTAL(1,M34:M36)</f>
        <v>6</v>
      </c>
      <c r="N37" s="20">
        <f>SUBTOTAL(1,N34:N36)</f>
        <v>44.623920400000003</v>
      </c>
      <c r="O37" s="62">
        <f>SUBTOTAL(1,O34:O36)</f>
        <v>2.5499383085714284</v>
      </c>
      <c r="P37" s="20">
        <f>SUBTOTAL(1,P34:P36)</f>
        <v>26.52416666666667</v>
      </c>
      <c r="Q37" s="20">
        <f>SUBTOTAL(1,Q34:Q36)</f>
        <v>386.68333333333334</v>
      </c>
      <c r="R37" s="20">
        <f>SUBTOTAL(1,R34:R36)</f>
        <v>134.95110333333332</v>
      </c>
      <c r="S37" s="20">
        <f>SUBTOTAL(1,S34:S36)</f>
        <v>17.915089514066494</v>
      </c>
      <c r="T37" s="21">
        <f>SUBTOTAL(1,T34:T36)</f>
        <v>0.7004800000000001</v>
      </c>
      <c r="U37" s="20">
        <f>SUBTOTAL(1,U34:U36)</f>
        <v>109.35266666666666</v>
      </c>
      <c r="V37" s="6">
        <f>SUBTOTAL(1,V34:V36)</f>
        <v>10</v>
      </c>
      <c r="W37" s="20">
        <f>SUBTOTAL(1,W34:W36)</f>
        <v>25.066666666666666</v>
      </c>
      <c r="X37" s="20">
        <f>SUBTOTAL(1,X34:X36)</f>
        <v>89.600000000000009</v>
      </c>
      <c r="Y37" s="22">
        <f>SUBTOTAL(1,Y34:Y36)</f>
        <v>2.0631001371742115</v>
      </c>
      <c r="Z37" s="22">
        <f>SUBTOTAL(1,Z34:Z36)</f>
        <v>4.4710578842315369</v>
      </c>
      <c r="AA37" s="20">
        <f>SUBTOTAL(1,AA34:AA36)</f>
        <v>479.68734277356748</v>
      </c>
      <c r="AB37" s="20">
        <f>SUBTOTAL(1,AB34:AB36)</f>
        <v>521.6344366666666</v>
      </c>
      <c r="AC37" s="18">
        <f>SUBTOTAL(1,AC34:AC36)</f>
        <v>0.91962442788234977</v>
      </c>
      <c r="AD37" s="18">
        <f>SUBTOTAL(1,AD34:AD36)</f>
        <v>41.947093893099144</v>
      </c>
      <c r="AE37" s="56">
        <f>SUBTOTAL(1,AE34:AE36)</f>
        <v>3.7885902005493031</v>
      </c>
    </row>
    <row r="38" spans="1:31" outlineLevel="1" x14ac:dyDescent="0.3">
      <c r="A38" s="47">
        <v>33084</v>
      </c>
      <c r="B38" s="80" t="s">
        <v>63</v>
      </c>
      <c r="C38" s="7"/>
      <c r="D38" s="89" t="s">
        <v>76</v>
      </c>
      <c r="E38" s="7"/>
      <c r="F38" s="50"/>
      <c r="G38" s="90">
        <f>SUBTOTAL(7,G34:G36)</f>
        <v>9.1151540487988072</v>
      </c>
      <c r="H38" s="6">
        <f>SUBTOTAL(7,H34:H36)</f>
        <v>14.502873278538061</v>
      </c>
      <c r="I38" s="91">
        <f>SUBTOTAL(7,I34:I36)</f>
        <v>3.9447095411089479</v>
      </c>
      <c r="J38" s="92">
        <f>SUBTOTAL(7,J34:J36)</f>
        <v>1.7320508075688915E-2</v>
      </c>
      <c r="K38" s="94">
        <f>SUBTOTAL(7,K34:K36)</f>
        <v>0.26102362600602491</v>
      </c>
      <c r="L38" s="94">
        <f>SUBTOTAL(7,L34:L36)</f>
        <v>5.3270127756331815</v>
      </c>
      <c r="M38" s="94">
        <f>SUBTOTAL(7,M34:M36)</f>
        <v>0.59999999999999964</v>
      </c>
      <c r="N38" s="94">
        <f>SUBTOTAL(7,N34:N36)</f>
        <v>6.0189176946258307</v>
      </c>
      <c r="O38" s="91">
        <f>SUBTOTAL(7,O34:O36)</f>
        <v>0.3439381539786216</v>
      </c>
      <c r="P38" s="94">
        <f>SUBTOTAL(7,P34:P36)</f>
        <v>4.9542534334986463</v>
      </c>
      <c r="Q38" s="94">
        <f>SUBTOTAL(7,Q34:Q36)</f>
        <v>9.5616856951759956</v>
      </c>
      <c r="R38" s="94">
        <f>SUBTOTAL(7,R34:R36)</f>
        <v>3.4328289156369762</v>
      </c>
      <c r="S38" s="94">
        <f>SUBTOTAL(7,S34:S36)</f>
        <v>1.963259848018003</v>
      </c>
      <c r="T38" s="94">
        <f>SUBTOTAL(7,T34:T36)</f>
        <v>7.6763460057503896E-2</v>
      </c>
      <c r="U38" s="94">
        <f>SUBTOTAL(7,U34:U36)</f>
        <v>4.0611095433801481</v>
      </c>
      <c r="V38" s="6">
        <f>SUBTOTAL(7,V34:V36)</f>
        <v>1</v>
      </c>
      <c r="W38" s="94">
        <f>SUBTOTAL(7,W34:W36)</f>
        <v>1.0066445913694333</v>
      </c>
      <c r="X38" s="94">
        <f>SUBTOTAL(7,X34:X36)</f>
        <v>7.6628976242672087</v>
      </c>
      <c r="Y38" s="94">
        <f>SUBTOTAL(7,Y34:Y36)</f>
        <v>8.2851406697072763E-2</v>
      </c>
      <c r="Z38" s="94">
        <f>SUBTOTAL(7,Z34:Z36)</f>
        <v>0.38238012097141755</v>
      </c>
      <c r="AA38" s="94">
        <f>SUBTOTAL(7,AA34:AA36)</f>
        <v>3.9743663286290669</v>
      </c>
      <c r="AB38" s="94">
        <f>SUBTOTAL(7,AB34:AB36)</f>
        <v>6.1757781990639371</v>
      </c>
      <c r="AC38" s="94">
        <f>SUBTOTAL(7,AC34:AC36)</f>
        <v>6.8486273710293335E-3</v>
      </c>
      <c r="AD38" s="94">
        <f>SUBTOTAL(7,AD34:AD36)</f>
        <v>3.9319487897533487</v>
      </c>
      <c r="AE38" s="91">
        <f>SUBTOTAL(7,AE34:AE36)</f>
        <v>0.30440287335971417</v>
      </c>
    </row>
    <row r="39" spans="1:31" outlineLevel="3" x14ac:dyDescent="0.3">
      <c r="A39" s="47">
        <v>33084</v>
      </c>
      <c r="B39" s="80" t="s">
        <v>63</v>
      </c>
      <c r="C39" s="7" t="s">
        <v>43</v>
      </c>
      <c r="D39" s="7" t="s">
        <v>48</v>
      </c>
      <c r="E39" s="7" t="s">
        <v>45</v>
      </c>
      <c r="F39" s="50">
        <v>12</v>
      </c>
      <c r="G39" s="17">
        <v>125.8</v>
      </c>
      <c r="H39" s="6">
        <v>155</v>
      </c>
      <c r="I39" s="56">
        <v>81.161290322580655</v>
      </c>
      <c r="J39" s="19">
        <v>2.64</v>
      </c>
      <c r="K39" s="18">
        <v>22.22</v>
      </c>
      <c r="L39" s="18">
        <v>453.46938775510205</v>
      </c>
      <c r="M39" s="20">
        <v>6.2</v>
      </c>
      <c r="N39" s="20">
        <v>46.622257399999995</v>
      </c>
      <c r="O39" s="62">
        <v>2.664128994285714</v>
      </c>
      <c r="P39" s="20">
        <v>27.55</v>
      </c>
      <c r="Q39" s="20">
        <v>379.65</v>
      </c>
      <c r="R39" s="20">
        <v>144.73123000000001</v>
      </c>
      <c r="S39" s="20">
        <v>27.686956521739134</v>
      </c>
      <c r="T39" s="21">
        <v>1.0825600000000002</v>
      </c>
      <c r="U39" s="20">
        <v>119.5984</v>
      </c>
      <c r="V39" s="6">
        <v>12</v>
      </c>
      <c r="W39" s="20">
        <v>26.8</v>
      </c>
      <c r="X39" s="20">
        <v>139.19999999999999</v>
      </c>
      <c r="Y39" s="22">
        <v>2.2057613168724282</v>
      </c>
      <c r="Z39" s="22">
        <v>6.9461077844311374</v>
      </c>
      <c r="AA39" s="20">
        <v>490.30821337814479</v>
      </c>
      <c r="AB39" s="20">
        <v>524.38123000000007</v>
      </c>
      <c r="AC39" s="18">
        <v>0.93502243277881003</v>
      </c>
      <c r="AD39" s="18">
        <v>34.073016621855288</v>
      </c>
      <c r="AE39" s="56">
        <v>2.6137078282035175</v>
      </c>
    </row>
    <row r="40" spans="1:31" outlineLevel="3" x14ac:dyDescent="0.3">
      <c r="A40" s="47">
        <v>33084</v>
      </c>
      <c r="B40" s="80" t="s">
        <v>63</v>
      </c>
      <c r="C40" s="7" t="s">
        <v>43</v>
      </c>
      <c r="D40" s="7" t="s">
        <v>48</v>
      </c>
      <c r="E40" s="7" t="s">
        <v>46</v>
      </c>
      <c r="F40" s="50">
        <v>13</v>
      </c>
      <c r="G40" s="17">
        <v>145.88</v>
      </c>
      <c r="H40" s="6">
        <v>172</v>
      </c>
      <c r="I40" s="56">
        <v>84.813953488372093</v>
      </c>
      <c r="J40" s="19">
        <v>2.65</v>
      </c>
      <c r="K40" s="18">
        <v>20.62</v>
      </c>
      <c r="L40" s="18">
        <v>420.81632653061223</v>
      </c>
      <c r="M40" s="20">
        <v>6.2</v>
      </c>
      <c r="N40" s="20">
        <v>46.622257399999995</v>
      </c>
      <c r="O40" s="62">
        <v>2.664128994285714</v>
      </c>
      <c r="P40" s="20">
        <v>29.425000000000001</v>
      </c>
      <c r="Q40" s="20">
        <v>336.8</v>
      </c>
      <c r="R40" s="20">
        <v>146.50126</v>
      </c>
      <c r="S40" s="20">
        <v>29.51918158567775</v>
      </c>
      <c r="T40" s="21">
        <v>1.1542000000000001</v>
      </c>
      <c r="U40" s="20">
        <v>124.2051</v>
      </c>
      <c r="V40" s="6">
        <v>13</v>
      </c>
      <c r="W40" s="20">
        <v>28</v>
      </c>
      <c r="X40" s="20">
        <v>100</v>
      </c>
      <c r="Y40" s="22">
        <v>2.3045267489711931</v>
      </c>
      <c r="Z40" s="22">
        <v>4.9900199600798407</v>
      </c>
      <c r="AA40" s="20">
        <v>457.63005482534101</v>
      </c>
      <c r="AB40" s="20">
        <v>483.30126000000001</v>
      </c>
      <c r="AC40" s="18">
        <v>0.9468836369790159</v>
      </c>
      <c r="AD40" s="18">
        <v>25.671205174659008</v>
      </c>
      <c r="AE40" s="56">
        <v>2.4814587012649456</v>
      </c>
    </row>
    <row r="41" spans="1:31" outlineLevel="3" x14ac:dyDescent="0.3">
      <c r="A41" s="47">
        <v>33084</v>
      </c>
      <c r="B41" s="80" t="s">
        <v>63</v>
      </c>
      <c r="C41" s="7" t="s">
        <v>43</v>
      </c>
      <c r="D41" s="7" t="s">
        <v>48</v>
      </c>
      <c r="E41" s="7" t="s">
        <v>47</v>
      </c>
      <c r="F41" s="50">
        <v>14</v>
      </c>
      <c r="G41" s="17">
        <v>161.19</v>
      </c>
      <c r="H41" s="6">
        <v>198</v>
      </c>
      <c r="I41" s="56">
        <v>81.409090909090907</v>
      </c>
      <c r="J41" s="19">
        <v>2.65</v>
      </c>
      <c r="K41" s="18">
        <v>20.6</v>
      </c>
      <c r="L41" s="18">
        <v>420.40816326530614</v>
      </c>
      <c r="M41" s="20">
        <v>6.2</v>
      </c>
      <c r="N41" s="20">
        <v>46.622257399999995</v>
      </c>
      <c r="O41" s="62">
        <v>2.664128994285714</v>
      </c>
      <c r="P41" s="20">
        <v>28.875</v>
      </c>
      <c r="Q41" s="20">
        <v>343.7</v>
      </c>
      <c r="R41" s="20">
        <v>145.75354000000002</v>
      </c>
      <c r="S41" s="20">
        <v>27.279795396419438</v>
      </c>
      <c r="T41" s="21">
        <v>1.06664</v>
      </c>
      <c r="U41" s="20">
        <v>123.00060000000001</v>
      </c>
      <c r="V41" s="6">
        <v>14</v>
      </c>
      <c r="W41" s="20">
        <v>25.2</v>
      </c>
      <c r="X41" s="20">
        <v>92</v>
      </c>
      <c r="Y41" s="22">
        <v>2.074074074074074</v>
      </c>
      <c r="Z41" s="22">
        <v>4.5908183632734536</v>
      </c>
      <c r="AA41" s="20">
        <v>454.35285109907312</v>
      </c>
      <c r="AB41" s="20">
        <v>489.45353999999998</v>
      </c>
      <c r="AC41" s="18">
        <v>0.9282859637690497</v>
      </c>
      <c r="AD41" s="18">
        <v>35.100688900926855</v>
      </c>
      <c r="AE41" s="56">
        <v>2.6714558867096678</v>
      </c>
    </row>
    <row r="42" spans="1:31" outlineLevel="2" x14ac:dyDescent="0.3">
      <c r="A42" s="47">
        <v>33084</v>
      </c>
      <c r="B42" s="80" t="s">
        <v>63</v>
      </c>
      <c r="C42" s="7"/>
      <c r="D42" s="89" t="s">
        <v>80</v>
      </c>
      <c r="E42" s="7"/>
      <c r="F42" s="50"/>
      <c r="G42" s="17">
        <f>SUBTOTAL(1,G39:G41)</f>
        <v>144.29</v>
      </c>
      <c r="H42" s="6">
        <f>SUBTOTAL(1,H39:H41)</f>
        <v>175</v>
      </c>
      <c r="I42" s="56">
        <f>SUBTOTAL(1,I39:I41)</f>
        <v>82.461444906681223</v>
      </c>
      <c r="J42" s="19">
        <f>SUBTOTAL(1,J39:J41)</f>
        <v>2.6466666666666665</v>
      </c>
      <c r="K42" s="18">
        <f>SUBTOTAL(1,K39:K41)</f>
        <v>21.146666666666668</v>
      </c>
      <c r="L42" s="18">
        <f>SUBTOTAL(1,L39:L41)</f>
        <v>431.56462585034006</v>
      </c>
      <c r="M42" s="20">
        <f>SUBTOTAL(1,M39:M41)</f>
        <v>6.2</v>
      </c>
      <c r="N42" s="20">
        <f>SUBTOTAL(1,N39:N41)</f>
        <v>46.622257399999995</v>
      </c>
      <c r="O42" s="62">
        <f>SUBTOTAL(1,O39:O41)</f>
        <v>2.664128994285714</v>
      </c>
      <c r="P42" s="20">
        <f>SUBTOTAL(1,P39:P41)</f>
        <v>28.616666666666664</v>
      </c>
      <c r="Q42" s="20">
        <f>SUBTOTAL(1,Q39:Q41)</f>
        <v>353.38333333333338</v>
      </c>
      <c r="R42" s="20">
        <f>SUBTOTAL(1,R39:R41)</f>
        <v>145.66201000000001</v>
      </c>
      <c r="S42" s="20">
        <f>SUBTOTAL(1,S39:S41)</f>
        <v>28.161977834612106</v>
      </c>
      <c r="T42" s="21">
        <f>SUBTOTAL(1,T39:T41)</f>
        <v>1.1011333333333335</v>
      </c>
      <c r="U42" s="20">
        <f>SUBTOTAL(1,U39:U41)</f>
        <v>122.26803333333334</v>
      </c>
      <c r="V42" s="6">
        <f>SUBTOTAL(1,V39:V41)</f>
        <v>13</v>
      </c>
      <c r="W42" s="20">
        <f>SUBTOTAL(1,W39:W41)</f>
        <v>26.666666666666668</v>
      </c>
      <c r="X42" s="20">
        <f>SUBTOTAL(1,X39:X41)</f>
        <v>110.39999999999999</v>
      </c>
      <c r="Y42" s="22">
        <f>SUBTOTAL(1,Y39:Y41)</f>
        <v>2.1947873799725652</v>
      </c>
      <c r="Z42" s="22">
        <f>SUBTOTAL(1,Z39:Z41)</f>
        <v>5.5089820359281445</v>
      </c>
      <c r="AA42" s="20">
        <f>SUBTOTAL(1,AA39:AA41)</f>
        <v>467.43037310085293</v>
      </c>
      <c r="AB42" s="20">
        <f>SUBTOTAL(1,AB39:AB41)</f>
        <v>499.04534333333339</v>
      </c>
      <c r="AC42" s="18">
        <f>SUBTOTAL(1,AC39:AC41)</f>
        <v>0.93673067784229191</v>
      </c>
      <c r="AD42" s="18">
        <f>SUBTOTAL(1,AD39:AD41)</f>
        <v>31.614970232480385</v>
      </c>
      <c r="AE42" s="56">
        <f>SUBTOTAL(1,AE39:AE41)</f>
        <v>2.5888741387260432</v>
      </c>
    </row>
    <row r="43" spans="1:31" outlineLevel="1" x14ac:dyDescent="0.3">
      <c r="A43" s="47">
        <v>33084</v>
      </c>
      <c r="B43" s="80" t="s">
        <v>63</v>
      </c>
      <c r="C43" s="7"/>
      <c r="D43" s="89" t="s">
        <v>77</v>
      </c>
      <c r="E43" s="7"/>
      <c r="F43" s="50"/>
      <c r="G43" s="90">
        <f>SUBTOTAL(7,G39:G41)</f>
        <v>17.748495710904628</v>
      </c>
      <c r="H43" s="6">
        <f>SUBTOTAL(7,H39:H41)</f>
        <v>21.656407827707714</v>
      </c>
      <c r="I43" s="91">
        <f>SUBTOTAL(7,I39:I41)</f>
        <v>2.0410962135248827</v>
      </c>
      <c r="J43" s="92">
        <f>SUBTOTAL(7,J39:J41)</f>
        <v>5.7735026918961348E-3</v>
      </c>
      <c r="K43" s="94">
        <f>SUBTOTAL(7,K39:K41)</f>
        <v>0.92958772223676167</v>
      </c>
      <c r="L43" s="94">
        <f>SUBTOTAL(7,L39:L41)</f>
        <v>18.971178004831902</v>
      </c>
      <c r="M43" s="94">
        <f>SUBTOTAL(7,M39:M41)</f>
        <v>0</v>
      </c>
      <c r="N43" s="94">
        <f>SUBTOTAL(7,N39:N41)</f>
        <v>0</v>
      </c>
      <c r="O43" s="91">
        <f>SUBTOTAL(7,O39:O41)</f>
        <v>0</v>
      </c>
      <c r="P43" s="94">
        <f>SUBTOTAL(7,P39:P41)</f>
        <v>0.96382484577506777</v>
      </c>
      <c r="Q43" s="94">
        <f>SUBTOTAL(7,Q39:Q41)</f>
        <v>23.007734206856021</v>
      </c>
      <c r="R43" s="94">
        <f>SUBTOTAL(7,R39:R41)</f>
        <v>0.88855773920437664</v>
      </c>
      <c r="S43" s="94">
        <f>SUBTOTAL(7,S39:S41)</f>
        <v>1.1928732379942506</v>
      </c>
      <c r="T43" s="94">
        <f>SUBTOTAL(7,T39:T41)</f>
        <v>4.6641343605575245E-2</v>
      </c>
      <c r="U43" s="94">
        <f>SUBTOTAL(7,U39:U41)</f>
        <v>2.3891236182611704</v>
      </c>
      <c r="V43" s="6">
        <f>SUBTOTAL(7,V39:V41)</f>
        <v>1</v>
      </c>
      <c r="W43" s="94">
        <f>SUBTOTAL(7,W39:W41)</f>
        <v>1.4047538337136989</v>
      </c>
      <c r="X43" s="94">
        <f>SUBTOTAL(7,X39:X41)</f>
        <v>25.260245446155146</v>
      </c>
      <c r="Y43" s="94">
        <f>SUBTOTAL(7,Y39:Y41)</f>
        <v>0.11561759948260887</v>
      </c>
      <c r="Z43" s="94">
        <f>SUBTOTAL(7,Z39:Z41)</f>
        <v>1.2604912897282965</v>
      </c>
      <c r="AA43" s="94">
        <f>SUBTOTAL(7,AA39:AA41)</f>
        <v>19.880435052604426</v>
      </c>
      <c r="AB43" s="94">
        <f>SUBTOTAL(7,AB39:AB41)</f>
        <v>22.156105302810673</v>
      </c>
      <c r="AC43" s="94">
        <f>SUBTOTAL(7,AC39:AC41)</f>
        <v>9.4157813326274809E-3</v>
      </c>
      <c r="AD43" s="94">
        <f>SUBTOTAL(7,AD39:AD41)</f>
        <v>5.173034397259209</v>
      </c>
      <c r="AE43" s="91">
        <f>SUBTOTAL(7,AE39:AE41)</f>
        <v>9.7402601192302554E-2</v>
      </c>
    </row>
    <row r="44" spans="1:31" outlineLevel="3" x14ac:dyDescent="0.3">
      <c r="A44" s="47">
        <v>33084</v>
      </c>
      <c r="B44" s="80" t="s">
        <v>63</v>
      </c>
      <c r="C44" s="7" t="s">
        <v>43</v>
      </c>
      <c r="D44" s="7" t="s">
        <v>49</v>
      </c>
      <c r="E44" s="7" t="s">
        <v>45</v>
      </c>
      <c r="F44" s="50">
        <v>15</v>
      </c>
      <c r="G44" s="17">
        <v>153.66999999999999</v>
      </c>
      <c r="H44" s="6">
        <v>181</v>
      </c>
      <c r="I44" s="56">
        <v>84.900552486187848</v>
      </c>
      <c r="J44" s="19">
        <v>2.63</v>
      </c>
      <c r="K44" s="18">
        <v>22.34</v>
      </c>
      <c r="L44" s="18">
        <v>455.91836734693874</v>
      </c>
      <c r="M44" s="20">
        <v>5.4</v>
      </c>
      <c r="N44" s="20">
        <v>38.609788600000002</v>
      </c>
      <c r="O44" s="62">
        <v>2.2062736342857145</v>
      </c>
      <c r="P44" s="20">
        <v>19.2925</v>
      </c>
      <c r="Q44" s="20">
        <v>383.2</v>
      </c>
      <c r="R44" s="20">
        <v>144.75844000000001</v>
      </c>
      <c r="S44" s="20">
        <v>29.112020460358053</v>
      </c>
      <c r="T44" s="21">
        <v>1.13828</v>
      </c>
      <c r="U44" s="20">
        <v>119.39060000000001</v>
      </c>
      <c r="V44" s="6">
        <v>15</v>
      </c>
      <c r="W44" s="20">
        <v>25.2</v>
      </c>
      <c r="X44" s="20">
        <v>90.4</v>
      </c>
      <c r="Y44" s="22">
        <v>2.074074074074074</v>
      </c>
      <c r="Z44" s="22">
        <v>4.5109780439121758</v>
      </c>
      <c r="AA44" s="20">
        <v>491.61543992528306</v>
      </c>
      <c r="AB44" s="20">
        <v>527.95844</v>
      </c>
      <c r="AC44" s="18">
        <v>0.93116314216945384</v>
      </c>
      <c r="AD44" s="18">
        <v>36.34300007471694</v>
      </c>
      <c r="AE44" s="56">
        <v>2.4862314210914715</v>
      </c>
    </row>
    <row r="45" spans="1:31" outlineLevel="3" x14ac:dyDescent="0.3">
      <c r="A45" s="47">
        <v>33084</v>
      </c>
      <c r="B45" s="80" t="s">
        <v>63</v>
      </c>
      <c r="C45" s="7" t="s">
        <v>43</v>
      </c>
      <c r="D45" s="7" t="s">
        <v>49</v>
      </c>
      <c r="E45" s="7" t="s">
        <v>46</v>
      </c>
      <c r="F45" s="50">
        <v>16</v>
      </c>
      <c r="G45" s="17">
        <v>148.69999999999999</v>
      </c>
      <c r="H45" s="6">
        <v>165</v>
      </c>
      <c r="I45" s="56">
        <v>90.12121212121211</v>
      </c>
      <c r="J45" s="19">
        <v>2.73</v>
      </c>
      <c r="K45" s="18">
        <v>20.18</v>
      </c>
      <c r="L45" s="18">
        <v>411.83673469387753</v>
      </c>
      <c r="M45" s="20">
        <v>6.9</v>
      </c>
      <c r="N45" s="20">
        <v>53.674994349999999</v>
      </c>
      <c r="O45" s="62">
        <v>3.0671425342857144</v>
      </c>
      <c r="P45" s="20">
        <v>37</v>
      </c>
      <c r="Q45" s="20">
        <v>340.05</v>
      </c>
      <c r="R45" s="20">
        <v>142.74591000000001</v>
      </c>
      <c r="S45" s="20">
        <v>35.219437340153448</v>
      </c>
      <c r="T45" s="21">
        <v>1.3770799999999999</v>
      </c>
      <c r="U45" s="20">
        <v>120.2346</v>
      </c>
      <c r="V45" s="6">
        <v>16</v>
      </c>
      <c r="W45" s="20">
        <v>28</v>
      </c>
      <c r="X45" s="20">
        <v>92</v>
      </c>
      <c r="Y45" s="22">
        <v>2.3045267489711931</v>
      </c>
      <c r="Z45" s="22">
        <v>4.5908183632734536</v>
      </c>
      <c r="AA45" s="20">
        <v>453.95151714627559</v>
      </c>
      <c r="AB45" s="20">
        <v>482.79591000000005</v>
      </c>
      <c r="AC45" s="18">
        <v>0.94025551530930651</v>
      </c>
      <c r="AD45" s="18">
        <v>28.844392853724457</v>
      </c>
      <c r="AE45" s="56">
        <v>2.0265217274958611</v>
      </c>
    </row>
    <row r="46" spans="1:31" outlineLevel="3" x14ac:dyDescent="0.3">
      <c r="A46" s="47">
        <v>33084</v>
      </c>
      <c r="B46" s="80" t="s">
        <v>63</v>
      </c>
      <c r="C46" s="81" t="s">
        <v>43</v>
      </c>
      <c r="D46" s="81" t="s">
        <v>49</v>
      </c>
      <c r="E46" s="81" t="s">
        <v>47</v>
      </c>
      <c r="F46" s="50">
        <v>17</v>
      </c>
      <c r="G46" s="17">
        <v>135.16</v>
      </c>
      <c r="H46" s="31">
        <v>159</v>
      </c>
      <c r="I46" s="56">
        <v>85.006289308176093</v>
      </c>
      <c r="J46" s="19">
        <v>2.69</v>
      </c>
      <c r="K46" s="85">
        <v>20.13</v>
      </c>
      <c r="L46" s="85">
        <v>410.81632653061223</v>
      </c>
      <c r="M46" s="86">
        <v>6.3</v>
      </c>
      <c r="N46" s="86">
        <v>47.627401149999997</v>
      </c>
      <c r="O46" s="62">
        <v>2.7215657799999997</v>
      </c>
      <c r="P46" s="86">
        <v>30.175000000000001</v>
      </c>
      <c r="Q46" s="86">
        <v>328.15</v>
      </c>
      <c r="R46" s="86">
        <v>148.37772999999999</v>
      </c>
      <c r="S46" s="86">
        <v>34.405115089514062</v>
      </c>
      <c r="T46" s="87">
        <v>1.34524</v>
      </c>
      <c r="U46" s="86">
        <v>126.6542</v>
      </c>
      <c r="V46" s="31">
        <v>17</v>
      </c>
      <c r="W46" s="86">
        <v>27.6</v>
      </c>
      <c r="X46" s="86">
        <v>88.8</v>
      </c>
      <c r="Y46" s="88">
        <v>2.2716049382716048</v>
      </c>
      <c r="Z46" s="88">
        <v>4.4311377245508989</v>
      </c>
      <c r="AA46" s="86">
        <v>451.92418428294883</v>
      </c>
      <c r="AB46" s="86">
        <v>476.52772999999996</v>
      </c>
      <c r="AC46" s="85">
        <v>0.94836912068674128</v>
      </c>
      <c r="AD46" s="85">
        <v>24.603545717051134</v>
      </c>
      <c r="AE46" s="56">
        <v>2.156332417635515</v>
      </c>
    </row>
    <row r="47" spans="1:31" outlineLevel="2" x14ac:dyDescent="0.3">
      <c r="A47" s="47">
        <v>33084</v>
      </c>
      <c r="B47" s="80" t="s">
        <v>63</v>
      </c>
      <c r="C47" s="81"/>
      <c r="D47" s="95" t="s">
        <v>81</v>
      </c>
      <c r="E47" s="81"/>
      <c r="F47" s="50"/>
      <c r="G47" s="17">
        <f>SUBTOTAL(1,G44:G46)</f>
        <v>145.84333333333333</v>
      </c>
      <c r="H47" s="31">
        <f>SUBTOTAL(1,H44:H46)</f>
        <v>168.33333333333334</v>
      </c>
      <c r="I47" s="56">
        <f>SUBTOTAL(1,I44:I46)</f>
        <v>86.676017971858684</v>
      </c>
      <c r="J47" s="19">
        <f>SUBTOTAL(1,J44:J46)</f>
        <v>2.6833333333333331</v>
      </c>
      <c r="K47" s="85">
        <f>SUBTOTAL(1,K44:K46)</f>
        <v>20.883333333333329</v>
      </c>
      <c r="L47" s="85">
        <f>SUBTOTAL(1,L44:L46)</f>
        <v>426.19047619047615</v>
      </c>
      <c r="M47" s="86">
        <f>SUBTOTAL(1,M44:M46)</f>
        <v>6.2</v>
      </c>
      <c r="N47" s="86">
        <f>SUBTOTAL(1,N44:N46)</f>
        <v>46.637394699999994</v>
      </c>
      <c r="O47" s="62">
        <f>SUBTOTAL(1,O44:O46)</f>
        <v>2.6649939828571427</v>
      </c>
      <c r="P47" s="86">
        <f>SUBTOTAL(1,P44:P46)</f>
        <v>28.822500000000002</v>
      </c>
      <c r="Q47" s="86">
        <f>SUBTOTAL(1,Q44:Q46)</f>
        <v>350.4666666666667</v>
      </c>
      <c r="R47" s="86">
        <f>SUBTOTAL(1,R44:R46)</f>
        <v>145.29402666666667</v>
      </c>
      <c r="S47" s="86">
        <f>SUBTOTAL(1,S44:S46)</f>
        <v>32.912190963341857</v>
      </c>
      <c r="T47" s="87">
        <f>SUBTOTAL(1,T44:T46)</f>
        <v>1.2868666666666666</v>
      </c>
      <c r="U47" s="86">
        <f>SUBTOTAL(1,U44:U46)</f>
        <v>122.09313333333334</v>
      </c>
      <c r="V47" s="31">
        <f>SUBTOTAL(1,V44:V46)</f>
        <v>16</v>
      </c>
      <c r="W47" s="86">
        <f>SUBTOTAL(1,W44:W46)</f>
        <v>26.933333333333337</v>
      </c>
      <c r="X47" s="86">
        <f>SUBTOTAL(1,X44:X46)</f>
        <v>90.399999999999991</v>
      </c>
      <c r="Y47" s="88">
        <f>SUBTOTAL(1,Y44:Y46)</f>
        <v>2.2167352537722906</v>
      </c>
      <c r="Z47" s="88">
        <f>SUBTOTAL(1,Z44:Z46)</f>
        <v>4.5109780439121758</v>
      </c>
      <c r="AA47" s="86">
        <f>SUBTOTAL(1,AA44:AA46)</f>
        <v>465.83038045150244</v>
      </c>
      <c r="AB47" s="86">
        <f>SUBTOTAL(1,AB44:AB46)</f>
        <v>495.76069333333334</v>
      </c>
      <c r="AC47" s="85">
        <f>SUBTOTAL(1,AC44:AC46)</f>
        <v>0.93992925938850058</v>
      </c>
      <c r="AD47" s="85">
        <f>SUBTOTAL(1,AD44:AD46)</f>
        <v>29.930312881830844</v>
      </c>
      <c r="AE47" s="56">
        <f>SUBTOTAL(1,AE44:AE46)</f>
        <v>2.2230285220742823</v>
      </c>
    </row>
    <row r="48" spans="1:31" outlineLevel="1" x14ac:dyDescent="0.3">
      <c r="A48" s="47">
        <v>33084</v>
      </c>
      <c r="B48" s="80" t="s">
        <v>63</v>
      </c>
      <c r="C48" s="81"/>
      <c r="D48" s="95" t="s">
        <v>78</v>
      </c>
      <c r="E48" s="81"/>
      <c r="F48" s="50"/>
      <c r="G48" s="90">
        <f>SUBTOTAL(7,G44:G46)</f>
        <v>9.5799495475358967</v>
      </c>
      <c r="H48" s="31">
        <f>SUBTOTAL(7,H44:H46)</f>
        <v>11.372481406154654</v>
      </c>
      <c r="I48" s="91">
        <f>SUBTOTAL(7,I44:I46)</f>
        <v>2.9840940189503669</v>
      </c>
      <c r="J48" s="92">
        <f>SUBTOTAL(7,J44:J46)</f>
        <v>5.0332229568471713E-2</v>
      </c>
      <c r="K48" s="93">
        <f>SUBTOTAL(7,K44:K46)</f>
        <v>1.2617580327992108</v>
      </c>
      <c r="L48" s="93">
        <f>SUBTOTAL(7,L44:L46)</f>
        <v>25.750163934677751</v>
      </c>
      <c r="M48" s="93">
        <f>SUBTOTAL(7,M44:M46)</f>
        <v>0.75498344352707492</v>
      </c>
      <c r="N48" s="93">
        <f>SUBTOTAL(7,N44:N46)</f>
        <v>7.5812393875104576</v>
      </c>
      <c r="O48" s="91">
        <f>SUBTOTAL(7,O44:O46)</f>
        <v>0.43321367928630966</v>
      </c>
      <c r="P48" s="93">
        <f>SUBTOTAL(7,P44:P46)</f>
        <v>8.9308919627325096</v>
      </c>
      <c r="Q48" s="93">
        <f>SUBTOTAL(7,Q44:Q46)</f>
        <v>28.965597410261253</v>
      </c>
      <c r="R48" s="93">
        <f>SUBTOTAL(7,R44:R46)</f>
        <v>2.8538551007774138</v>
      </c>
      <c r="S48" s="93">
        <f>SUBTOTAL(7,S44:S46)</f>
        <v>3.3161351104535406</v>
      </c>
      <c r="T48" s="93">
        <f>SUBTOTAL(7,T44:T46)</f>
        <v>0.12966088281873345</v>
      </c>
      <c r="U48" s="93">
        <f>SUBTOTAL(7,U44:U46)</f>
        <v>3.9724779235803602</v>
      </c>
      <c r="V48" s="31">
        <f>SUBTOTAL(7,V44:V46)</f>
        <v>1</v>
      </c>
      <c r="W48" s="93">
        <f>SUBTOTAL(7,W44:W46)</f>
        <v>1.5143755588800738</v>
      </c>
      <c r="X48" s="93">
        <f>SUBTOTAL(7,X44:X46)</f>
        <v>1.6000000000000014</v>
      </c>
      <c r="Y48" s="93">
        <f>SUBTOTAL(7,Y44:Y46)</f>
        <v>0.12463996369383311</v>
      </c>
      <c r="Z48" s="93">
        <f>SUBTOTAL(7,Z44:Z46)</f>
        <v>7.9840319361277334E-2</v>
      </c>
      <c r="AA48" s="93">
        <f>SUBTOTAL(7,AA44:AA46)</f>
        <v>22.353511775210663</v>
      </c>
      <c r="AB48" s="93">
        <f>SUBTOTAL(7,AB44:AB46)</f>
        <v>28.059645185501424</v>
      </c>
      <c r="AC48" s="93">
        <f>SUBTOTAL(7,AC44:AC46)</f>
        <v>8.60762780205644E-3</v>
      </c>
      <c r="AD48" s="93">
        <f>SUBTOTAL(7,AD44:AD46)</f>
        <v>5.9445869397723161</v>
      </c>
      <c r="AE48" s="91">
        <f>SUBTOTAL(7,AE44:AE46)</f>
        <v>0.23700111467443091</v>
      </c>
    </row>
    <row r="49" spans="1:31" outlineLevel="3" x14ac:dyDescent="0.3">
      <c r="A49" s="47">
        <v>33091</v>
      </c>
      <c r="B49" s="80" t="s">
        <v>64</v>
      </c>
      <c r="C49" s="7" t="s">
        <v>43</v>
      </c>
      <c r="D49" s="7" t="s">
        <v>44</v>
      </c>
      <c r="E49" s="7" t="s">
        <v>45</v>
      </c>
      <c r="F49" s="50">
        <v>9</v>
      </c>
      <c r="G49" s="17">
        <v>164.16</v>
      </c>
      <c r="H49" s="6">
        <v>183</v>
      </c>
      <c r="I49" s="56">
        <v>89.704918032786878</v>
      </c>
      <c r="J49" s="19">
        <v>2.69</v>
      </c>
      <c r="K49" s="18">
        <v>17.84</v>
      </c>
      <c r="L49" s="18">
        <v>364.08163265306121</v>
      </c>
      <c r="M49" s="20">
        <v>8.8000000000000007</v>
      </c>
      <c r="N49" s="20">
        <v>73.014922400000017</v>
      </c>
      <c r="O49" s="62">
        <v>4.1722812800000009</v>
      </c>
      <c r="P49" s="20">
        <v>65.8322</v>
      </c>
      <c r="Q49" s="20">
        <v>304.3</v>
      </c>
      <c r="R49" s="20">
        <v>118.34746</v>
      </c>
      <c r="S49" s="20">
        <v>19.543734015345269</v>
      </c>
      <c r="T49" s="21">
        <v>0.76415999999999995</v>
      </c>
      <c r="U49" s="20">
        <v>98.202799999999996</v>
      </c>
      <c r="V49" s="6">
        <v>9</v>
      </c>
      <c r="W49" s="20">
        <v>25.2</v>
      </c>
      <c r="X49" s="20">
        <v>64.400000000000006</v>
      </c>
      <c r="Y49" s="22">
        <v>2.074074074074074</v>
      </c>
      <c r="Z49" s="22">
        <v>3.2135728542914177</v>
      </c>
      <c r="AA49" s="20">
        <v>388.91301359677198</v>
      </c>
      <c r="AB49" s="20">
        <v>422.64746000000002</v>
      </c>
      <c r="AC49" s="18">
        <v>0.92018301398705193</v>
      </c>
      <c r="AD49" s="18">
        <v>33.734446403228048</v>
      </c>
      <c r="AE49" s="56">
        <v>3.027759687761725</v>
      </c>
    </row>
    <row r="50" spans="1:31" ht="15" outlineLevel="3" thickBot="1" x14ac:dyDescent="0.35">
      <c r="A50" s="82">
        <v>33091</v>
      </c>
      <c r="B50" s="79" t="s">
        <v>64</v>
      </c>
      <c r="C50" s="32" t="s">
        <v>43</v>
      </c>
      <c r="D50" s="32" t="s">
        <v>44</v>
      </c>
      <c r="E50" s="32" t="s">
        <v>46</v>
      </c>
      <c r="F50" s="51">
        <v>10</v>
      </c>
      <c r="G50" s="39">
        <v>158.13999999999999</v>
      </c>
      <c r="H50" s="33">
        <v>174</v>
      </c>
      <c r="I50" s="58">
        <v>90.885057471264361</v>
      </c>
      <c r="J50" s="41">
        <v>2.69</v>
      </c>
      <c r="K50" s="40">
        <v>18.25</v>
      </c>
      <c r="L50" s="40">
        <v>372.44897959183675</v>
      </c>
      <c r="M50" s="42">
        <v>8.1</v>
      </c>
      <c r="N50" s="42">
        <v>65.856224349999991</v>
      </c>
      <c r="O50" s="64">
        <v>3.7632128199999997</v>
      </c>
      <c r="P50" s="42">
        <v>57.608800000000002</v>
      </c>
      <c r="Q50" s="42">
        <v>311.45</v>
      </c>
      <c r="R50" s="42">
        <v>122.41938999999999</v>
      </c>
      <c r="S50" s="42">
        <v>19.747314578005113</v>
      </c>
      <c r="T50" s="43">
        <v>0.77212000000000003</v>
      </c>
      <c r="U50" s="42">
        <v>101.8014</v>
      </c>
      <c r="V50" s="33">
        <v>10</v>
      </c>
      <c r="W50" s="42">
        <v>24</v>
      </c>
      <c r="X50" s="42">
        <v>62.8</v>
      </c>
      <c r="Y50" s="44">
        <v>1.9753086419753085</v>
      </c>
      <c r="Z50" s="44">
        <v>3.1337325349301399</v>
      </c>
      <c r="AA50" s="42">
        <v>397.30533534674726</v>
      </c>
      <c r="AB50" s="42">
        <v>433.86938999999995</v>
      </c>
      <c r="AC50" s="40">
        <v>0.91572566422984414</v>
      </c>
      <c r="AD50" s="40">
        <v>36.564054653252697</v>
      </c>
      <c r="AE50" s="58">
        <v>3.0996465245039633</v>
      </c>
    </row>
    <row r="51" spans="1:31" ht="15" outlineLevel="3" thickTop="1" x14ac:dyDescent="0.3">
      <c r="A51" s="48">
        <v>33091</v>
      </c>
      <c r="B51" s="80" t="s">
        <v>64</v>
      </c>
      <c r="C51" s="7" t="s">
        <v>43</v>
      </c>
      <c r="D51" s="7" t="s">
        <v>44</v>
      </c>
      <c r="E51" s="7" t="s">
        <v>47</v>
      </c>
      <c r="F51" s="49">
        <v>11</v>
      </c>
      <c r="G51" s="14">
        <v>169.05</v>
      </c>
      <c r="H51" s="2">
        <v>183</v>
      </c>
      <c r="I51" s="55">
        <v>92.377049180327873</v>
      </c>
      <c r="J51" s="15">
        <v>2.75</v>
      </c>
      <c r="K51" s="13">
        <v>16.48</v>
      </c>
      <c r="L51" s="13">
        <v>336.32653061224494</v>
      </c>
      <c r="M51" s="4">
        <v>9.3000000000000007</v>
      </c>
      <c r="N51" s="4">
        <v>78.152179150000009</v>
      </c>
      <c r="O51" s="61">
        <v>4.4658388085714291</v>
      </c>
      <c r="P51" s="4">
        <v>72.796300000000002</v>
      </c>
      <c r="Q51" s="4">
        <v>267.25</v>
      </c>
      <c r="R51" s="4">
        <v>125.33255</v>
      </c>
      <c r="S51" s="4">
        <v>23.818925831202044</v>
      </c>
      <c r="T51" s="16">
        <v>0.93131999999999993</v>
      </c>
      <c r="U51" s="4">
        <v>107.64060000000001</v>
      </c>
      <c r="V51" s="2">
        <v>11</v>
      </c>
      <c r="W51" s="4">
        <v>25.6</v>
      </c>
      <c r="X51" s="4">
        <v>56.8</v>
      </c>
      <c r="Y51" s="5">
        <v>2.1069958847736627</v>
      </c>
      <c r="Z51" s="5">
        <v>2.8343313373253491</v>
      </c>
      <c r="AA51" s="4">
        <v>365.08678366554597</v>
      </c>
      <c r="AB51" s="4">
        <v>392.58254999999997</v>
      </c>
      <c r="AC51" s="13">
        <v>0.92996182246395309</v>
      </c>
      <c r="AD51" s="13">
        <v>27.495766334454004</v>
      </c>
      <c r="AE51" s="55">
        <v>2.6309446296654211</v>
      </c>
    </row>
    <row r="52" spans="1:31" ht="15" outlineLevel="2" thickBot="1" x14ac:dyDescent="0.35">
      <c r="A52" s="82">
        <v>33091</v>
      </c>
      <c r="B52" s="79" t="s">
        <v>64</v>
      </c>
      <c r="C52" s="7"/>
      <c r="D52" s="89" t="s">
        <v>79</v>
      </c>
      <c r="E52" s="7"/>
      <c r="F52" s="50"/>
      <c r="G52" s="17">
        <f>SUBTOTAL(1,G49:G51)</f>
        <v>163.78333333333333</v>
      </c>
      <c r="H52" s="31">
        <f>SUBTOTAL(1,H49:H51)</f>
        <v>180</v>
      </c>
      <c r="I52" s="56">
        <f>SUBTOTAL(1,I49:I51)</f>
        <v>90.989008228126366</v>
      </c>
      <c r="J52" s="19">
        <f>SUBTOTAL(1,J49:J51)</f>
        <v>2.7099999999999995</v>
      </c>
      <c r="K52" s="85">
        <f>SUBTOTAL(1,K49:K51)</f>
        <v>17.523333333333337</v>
      </c>
      <c r="L52" s="85">
        <f>SUBTOTAL(1,L49:L51)</f>
        <v>357.61904761904765</v>
      </c>
      <c r="M52" s="86">
        <f>SUBTOTAL(1,M49:M51)</f>
        <v>8.7333333333333325</v>
      </c>
      <c r="N52" s="86">
        <f>SUBTOTAL(1,N49:N51)</f>
        <v>72.341108633333349</v>
      </c>
      <c r="O52" s="62">
        <f>SUBTOTAL(1,O49:O51)</f>
        <v>4.1337776361904766</v>
      </c>
      <c r="P52" s="86">
        <f>SUBTOTAL(1,P49:P51)</f>
        <v>65.41243333333334</v>
      </c>
      <c r="Q52" s="86">
        <f>SUBTOTAL(1,Q49:Q51)</f>
        <v>294.33333333333331</v>
      </c>
      <c r="R52" s="86">
        <f>SUBTOTAL(1,R49:R51)</f>
        <v>122.03313333333331</v>
      </c>
      <c r="S52" s="86">
        <f>SUBTOTAL(1,S49:S51)</f>
        <v>21.036658141517474</v>
      </c>
      <c r="T52" s="87">
        <f>SUBTOTAL(1,T49:T51)</f>
        <v>0.82253333333333334</v>
      </c>
      <c r="U52" s="86">
        <f>SUBTOTAL(1,U49:U51)</f>
        <v>102.54826666666668</v>
      </c>
      <c r="V52" s="31">
        <f>SUBTOTAL(1,V49:V51)</f>
        <v>10</v>
      </c>
      <c r="W52" s="86">
        <f>SUBTOTAL(1,W49:W51)</f>
        <v>24.933333333333337</v>
      </c>
      <c r="X52" s="86">
        <f>SUBTOTAL(1,X49:X51)</f>
        <v>61.333333333333336</v>
      </c>
      <c r="Y52" s="88">
        <f>SUBTOTAL(1,Y49:Y51)</f>
        <v>2.0521262002743486</v>
      </c>
      <c r="Z52" s="88">
        <f>SUBTOTAL(1,Z49:Z51)</f>
        <v>3.0605455755156359</v>
      </c>
      <c r="AA52" s="86">
        <f>SUBTOTAL(1,AA49:AA51)</f>
        <v>383.76837753635505</v>
      </c>
      <c r="AB52" s="86">
        <f>SUBTOTAL(1,AB49:AB51)</f>
        <v>416.36646666666667</v>
      </c>
      <c r="AC52" s="85">
        <f>SUBTOTAL(1,AC49:AC51)</f>
        <v>0.92195683356028313</v>
      </c>
      <c r="AD52" s="85">
        <f>SUBTOTAL(1,AD49:AD51)</f>
        <v>32.598089130311585</v>
      </c>
      <c r="AE52" s="56">
        <f>SUBTOTAL(1,AE49:AE51)</f>
        <v>2.9194502806437033</v>
      </c>
    </row>
    <row r="53" spans="1:31" ht="15" outlineLevel="1" thickTop="1" x14ac:dyDescent="0.3">
      <c r="A53" s="48">
        <v>33091</v>
      </c>
      <c r="B53" s="80" t="s">
        <v>64</v>
      </c>
      <c r="C53" s="7"/>
      <c r="D53" s="89" t="s">
        <v>76</v>
      </c>
      <c r="E53" s="7"/>
      <c r="F53" s="50"/>
      <c r="G53" s="90">
        <f>SUBTOTAL(7,G49:G51)</f>
        <v>5.4647445807954709</v>
      </c>
      <c r="H53" s="31">
        <f>SUBTOTAL(7,H49:H51)</f>
        <v>5.196152422706632</v>
      </c>
      <c r="I53" s="91">
        <f>SUBTOTAL(7,I49:I51)</f>
        <v>1.3390950441637168</v>
      </c>
      <c r="J53" s="92">
        <f>SUBTOTAL(7,J49:J51)</f>
        <v>3.4641016151377581E-2</v>
      </c>
      <c r="K53" s="93">
        <f>SUBTOTAL(7,K49:K51)</f>
        <v>0.92651677444789571</v>
      </c>
      <c r="L53" s="93">
        <f>SUBTOTAL(7,L49:L51)</f>
        <v>18.908505600977449</v>
      </c>
      <c r="M53" s="93">
        <f>SUBTOTAL(7,M49:M51)</f>
        <v>0.60277137733417141</v>
      </c>
      <c r="N53" s="93">
        <f>SUBTOTAL(7,N49:N51)</f>
        <v>6.1756088651260148</v>
      </c>
      <c r="O53" s="91">
        <f>SUBTOTAL(7,O49:O51)</f>
        <v>0.3528919351500579</v>
      </c>
      <c r="P53" s="93">
        <f>SUBTOTAL(7,P49:P51)</f>
        <v>7.6024464551441158</v>
      </c>
      <c r="Q53" s="93">
        <f>SUBTOTAL(7,Q49:Q51)</f>
        <v>23.725741997529461</v>
      </c>
      <c r="R53" s="93">
        <f>SUBTOTAL(7,R49:R51)</f>
        <v>3.5085276451003389</v>
      </c>
      <c r="S53" s="93">
        <f>SUBTOTAL(7,S49:S51)</f>
        <v>2.4116636133943423</v>
      </c>
      <c r="T53" s="93">
        <f>SUBTOTAL(7,T49:T51)</f>
        <v>9.4296047283718779E-2</v>
      </c>
      <c r="U53" s="93">
        <f>SUBTOTAL(7,U49:U51)</f>
        <v>4.7630215801876625</v>
      </c>
      <c r="V53" s="31">
        <f>SUBTOTAL(7,V49:V51)</f>
        <v>1</v>
      </c>
      <c r="W53" s="93">
        <f>SUBTOTAL(7,W49:W51)</f>
        <v>0.83266639978645351</v>
      </c>
      <c r="X53" s="93">
        <f>SUBTOTAL(7,X49:X51)</f>
        <v>4.0066611203511284</v>
      </c>
      <c r="Y53" s="93">
        <f>SUBTOTAL(7,Y49:Y51)</f>
        <v>6.853221397419379E-2</v>
      </c>
      <c r="Z53" s="93">
        <f>SUBTOTAL(7,Z49:Z51)</f>
        <v>0.19993318963828002</v>
      </c>
      <c r="AA53" s="93">
        <f>SUBTOTAL(7,AA49:AA51)</f>
        <v>16.71404284588759</v>
      </c>
      <c r="AB53" s="93">
        <f>SUBTOTAL(7,AB49:AB51)</f>
        <v>21.348043171130076</v>
      </c>
      <c r="AC53" s="93">
        <f>SUBTOTAL(7,AC49:AC51)</f>
        <v>7.2819555907345668E-3</v>
      </c>
      <c r="AD53" s="93">
        <f>SUBTOTAL(7,AD49:AD51)</f>
        <v>4.6397138001171463</v>
      </c>
      <c r="AE53" s="91">
        <f>SUBTOTAL(7,AE49:AE51)</f>
        <v>0.2524253598769407</v>
      </c>
    </row>
    <row r="54" spans="1:31" ht="15" outlineLevel="3" thickBot="1" x14ac:dyDescent="0.35">
      <c r="A54" s="82">
        <v>33091</v>
      </c>
      <c r="B54" s="79" t="s">
        <v>64</v>
      </c>
      <c r="C54" s="3" t="s">
        <v>43</v>
      </c>
      <c r="D54" s="3" t="s">
        <v>48</v>
      </c>
      <c r="E54" s="7" t="s">
        <v>45</v>
      </c>
      <c r="F54" s="50">
        <v>12</v>
      </c>
      <c r="G54" s="17">
        <v>149.12</v>
      </c>
      <c r="H54" s="6">
        <v>155</v>
      </c>
      <c r="I54" s="56">
        <v>96.206451612903237</v>
      </c>
      <c r="J54" s="19">
        <v>2.77</v>
      </c>
      <c r="K54" s="18">
        <v>16.850000000000001</v>
      </c>
      <c r="L54" s="18">
        <v>343.87755102040819</v>
      </c>
      <c r="M54" s="20">
        <v>8.8000000000000007</v>
      </c>
      <c r="N54" s="20">
        <v>73.014922400000017</v>
      </c>
      <c r="O54" s="62">
        <v>4.1722812800000009</v>
      </c>
      <c r="P54" s="20">
        <v>65.520600000000002</v>
      </c>
      <c r="Q54" s="20">
        <v>273.05</v>
      </c>
      <c r="R54" s="20">
        <v>136.01891000000001</v>
      </c>
      <c r="S54" s="20">
        <v>33.387212276214825</v>
      </c>
      <c r="T54" s="21">
        <v>1.3054399999999999</v>
      </c>
      <c r="U54" s="20">
        <v>117.943</v>
      </c>
      <c r="V54" s="6">
        <v>12</v>
      </c>
      <c r="W54" s="20">
        <v>28</v>
      </c>
      <c r="X54" s="20">
        <v>68</v>
      </c>
      <c r="Y54" s="22">
        <v>2.3045267489711931</v>
      </c>
      <c r="Z54" s="22">
        <v>3.3932135728542914</v>
      </c>
      <c r="AA54" s="20">
        <v>382.96250361844847</v>
      </c>
      <c r="AB54" s="20">
        <v>409.06891000000002</v>
      </c>
      <c r="AC54" s="18">
        <v>0.93618090804908261</v>
      </c>
      <c r="AD54" s="18">
        <v>26.106406381551551</v>
      </c>
      <c r="AE54" s="56">
        <v>2.0369911221503867</v>
      </c>
    </row>
    <row r="55" spans="1:31" ht="15" outlineLevel="3" thickTop="1" x14ac:dyDescent="0.3">
      <c r="A55" s="48">
        <v>33091</v>
      </c>
      <c r="B55" s="80" t="s">
        <v>64</v>
      </c>
      <c r="C55" s="3" t="s">
        <v>43</v>
      </c>
      <c r="D55" s="7" t="s">
        <v>48</v>
      </c>
      <c r="E55" s="7" t="s">
        <v>46</v>
      </c>
      <c r="F55" s="50">
        <v>13</v>
      </c>
      <c r="G55" s="17">
        <v>173.9</v>
      </c>
      <c r="H55" s="6">
        <v>181</v>
      </c>
      <c r="I55" s="56">
        <v>96.077348066298342</v>
      </c>
      <c r="J55" s="19">
        <v>2.87</v>
      </c>
      <c r="K55" s="18">
        <v>14.04</v>
      </c>
      <c r="L55" s="18">
        <v>286.53061224489795</v>
      </c>
      <c r="M55" s="20">
        <v>9.3000000000000007</v>
      </c>
      <c r="N55" s="20">
        <v>78.152179150000009</v>
      </c>
      <c r="O55" s="62">
        <v>4.4658388085714291</v>
      </c>
      <c r="P55" s="20">
        <v>75.279799999999994</v>
      </c>
      <c r="Q55" s="20">
        <v>213.25</v>
      </c>
      <c r="R55" s="20">
        <v>129.06565000000001</v>
      </c>
      <c r="S55" s="20">
        <v>37.458823529411767</v>
      </c>
      <c r="T55" s="21">
        <v>1.4646400000000002</v>
      </c>
      <c r="U55" s="20">
        <v>114.9485</v>
      </c>
      <c r="V55" s="6">
        <v>13</v>
      </c>
      <c r="W55" s="20">
        <v>30</v>
      </c>
      <c r="X55" s="20">
        <v>74.8</v>
      </c>
      <c r="Y55" s="22">
        <v>2.4691358024691357</v>
      </c>
      <c r="Z55" s="22">
        <v>3.7325349301397215</v>
      </c>
      <c r="AA55" s="20">
        <v>330.19110650691852</v>
      </c>
      <c r="AB55" s="20">
        <v>342.31565000000001</v>
      </c>
      <c r="AC55" s="18">
        <v>0.96458080869781593</v>
      </c>
      <c r="AD55" s="18">
        <v>12.124543493081489</v>
      </c>
      <c r="AE55" s="56">
        <v>1.722766999057789</v>
      </c>
    </row>
    <row r="56" spans="1:31" ht="15" outlineLevel="3" thickBot="1" x14ac:dyDescent="0.35">
      <c r="A56" s="82">
        <v>33091</v>
      </c>
      <c r="B56" s="79" t="s">
        <v>64</v>
      </c>
      <c r="C56" s="3" t="s">
        <v>43</v>
      </c>
      <c r="D56" s="7" t="s">
        <v>48</v>
      </c>
      <c r="E56" s="23" t="s">
        <v>47</v>
      </c>
      <c r="F56" s="52">
        <v>14</v>
      </c>
      <c r="G56" s="25">
        <v>182.57</v>
      </c>
      <c r="H56" s="24">
        <v>196</v>
      </c>
      <c r="I56" s="57">
        <v>93.147959183673464</v>
      </c>
      <c r="J56" s="27">
        <v>2.82</v>
      </c>
      <c r="K56" s="26">
        <v>15.4</v>
      </c>
      <c r="L56" s="26">
        <v>314.28571428571428</v>
      </c>
      <c r="M56" s="28">
        <v>8.9</v>
      </c>
      <c r="N56" s="28">
        <v>74.040780350000006</v>
      </c>
      <c r="O56" s="63">
        <v>4.2309017342857143</v>
      </c>
      <c r="P56" s="28">
        <v>69.063999999999993</v>
      </c>
      <c r="Q56" s="28">
        <v>242.35</v>
      </c>
      <c r="R56" s="28">
        <v>132.77136999999999</v>
      </c>
      <c r="S56" s="28">
        <v>33.183631713554988</v>
      </c>
      <c r="T56" s="29">
        <v>1.29748</v>
      </c>
      <c r="U56" s="28">
        <v>116.7278</v>
      </c>
      <c r="V56" s="24">
        <v>14</v>
      </c>
      <c r="W56" s="28">
        <v>26.8</v>
      </c>
      <c r="X56" s="28">
        <v>69.2</v>
      </c>
      <c r="Y56" s="30">
        <v>2.2057613168724282</v>
      </c>
      <c r="Z56" s="30">
        <v>3.4530938123752497</v>
      </c>
      <c r="AA56" s="28">
        <v>353.12820112851693</v>
      </c>
      <c r="AB56" s="28">
        <v>375.12136999999996</v>
      </c>
      <c r="AC56" s="26">
        <v>0.94137052530096321</v>
      </c>
      <c r="AD56" s="26">
        <v>21.993168871483022</v>
      </c>
      <c r="AE56" s="57">
        <v>2.0005551403489839</v>
      </c>
    </row>
    <row r="57" spans="1:31" ht="15" outlineLevel="2" thickTop="1" x14ac:dyDescent="0.3">
      <c r="A57" s="48">
        <v>33091</v>
      </c>
      <c r="B57" s="80" t="s">
        <v>64</v>
      </c>
      <c r="C57" s="81"/>
      <c r="D57" s="89" t="s">
        <v>80</v>
      </c>
      <c r="E57" s="81"/>
      <c r="F57" s="50"/>
      <c r="G57" s="17">
        <f>SUBTOTAL(1,G54:G56)</f>
        <v>168.53</v>
      </c>
      <c r="H57" s="31">
        <f>SUBTOTAL(1,H54:H56)</f>
        <v>177.33333333333334</v>
      </c>
      <c r="I57" s="56">
        <f>SUBTOTAL(1,I54:I56)</f>
        <v>95.143919620958357</v>
      </c>
      <c r="J57" s="19">
        <f>SUBTOTAL(1,J54:J56)</f>
        <v>2.8200000000000003</v>
      </c>
      <c r="K57" s="85">
        <f>SUBTOTAL(1,K54:K56)</f>
        <v>15.43</v>
      </c>
      <c r="L57" s="85">
        <f>SUBTOTAL(1,L54:L56)</f>
        <v>314.89795918367349</v>
      </c>
      <c r="M57" s="86">
        <f>SUBTOTAL(1,M54:M56)</f>
        <v>9</v>
      </c>
      <c r="N57" s="86">
        <f>SUBTOTAL(1,N54:N56)</f>
        <v>75.069293966666677</v>
      </c>
      <c r="O57" s="62">
        <f>SUBTOTAL(1,O54:O56)</f>
        <v>4.2896739409523814</v>
      </c>
      <c r="P57" s="86">
        <f>SUBTOTAL(1,P54:P56)</f>
        <v>69.954799999999992</v>
      </c>
      <c r="Q57" s="86">
        <f>SUBTOTAL(1,Q54:Q56)</f>
        <v>242.88333333333333</v>
      </c>
      <c r="R57" s="86">
        <f>SUBTOTAL(1,R54:R56)</f>
        <v>132.61864333333332</v>
      </c>
      <c r="S57" s="86">
        <f>SUBTOTAL(1,S54:S56)</f>
        <v>34.676555839727193</v>
      </c>
      <c r="T57" s="87">
        <f>SUBTOTAL(1,T54:T56)</f>
        <v>1.3558533333333334</v>
      </c>
      <c r="U57" s="86">
        <f>SUBTOTAL(1,U54:U56)</f>
        <v>116.53976666666667</v>
      </c>
      <c r="V57" s="31">
        <f>SUBTOTAL(1,V54:V56)</f>
        <v>13</v>
      </c>
      <c r="W57" s="86">
        <f>SUBTOTAL(1,W54:W56)</f>
        <v>28.266666666666666</v>
      </c>
      <c r="X57" s="86">
        <f>SUBTOTAL(1,X54:X56)</f>
        <v>70.666666666666671</v>
      </c>
      <c r="Y57" s="88">
        <f>SUBTOTAL(1,Y54:Y56)</f>
        <v>2.326474622770919</v>
      </c>
      <c r="Z57" s="88">
        <f>SUBTOTAL(1,Z54:Z56)</f>
        <v>3.5262807717897537</v>
      </c>
      <c r="AA57" s="86">
        <f>SUBTOTAL(1,AA54:AA56)</f>
        <v>355.42727041796132</v>
      </c>
      <c r="AB57" s="86">
        <f>SUBTOTAL(1,AB54:AB56)</f>
        <v>375.50197666666662</v>
      </c>
      <c r="AC57" s="85">
        <f>SUBTOTAL(1,AC54:AC56)</f>
        <v>0.94737741401595388</v>
      </c>
      <c r="AD57" s="85">
        <f>SUBTOTAL(1,AD54:AD56)</f>
        <v>20.074706248705354</v>
      </c>
      <c r="AE57" s="56">
        <f>SUBTOTAL(1,AE54:AE56)</f>
        <v>1.9201044205190534</v>
      </c>
    </row>
    <row r="58" spans="1:31" ht="15" outlineLevel="1" thickBot="1" x14ac:dyDescent="0.35">
      <c r="A58" s="82">
        <v>33091</v>
      </c>
      <c r="B58" s="79" t="s">
        <v>64</v>
      </c>
      <c r="C58" s="81"/>
      <c r="D58" s="89" t="s">
        <v>77</v>
      </c>
      <c r="E58" s="81"/>
      <c r="F58" s="50"/>
      <c r="G58" s="90">
        <f>SUBTOTAL(7,G54:G56)</f>
        <v>17.359530523605756</v>
      </c>
      <c r="H58" s="31">
        <f>SUBTOTAL(7,H54:H56)</f>
        <v>20.744477176668816</v>
      </c>
      <c r="I58" s="91">
        <f>SUBTOTAL(7,I54:I56)</f>
        <v>1.7297573476766439</v>
      </c>
      <c r="J58" s="92">
        <f>SUBTOTAL(7,J54:J56)</f>
        <v>5.0000000000000044E-2</v>
      </c>
      <c r="K58" s="93">
        <f>SUBTOTAL(7,K54:K56)</f>
        <v>1.4052401929919323</v>
      </c>
      <c r="L58" s="93">
        <f>SUBTOTAL(7,L54:L56)</f>
        <v>28.678371285549634</v>
      </c>
      <c r="M58" s="93">
        <f>SUBTOTAL(7,M54:M56)</f>
        <v>0.26457513110645914</v>
      </c>
      <c r="N58" s="93">
        <f>SUBTOTAL(7,N54:N56)</f>
        <v>2.7186820195835129</v>
      </c>
      <c r="O58" s="91">
        <f>SUBTOTAL(7,O54:O56)</f>
        <v>0.15535325826191515</v>
      </c>
      <c r="P58" s="93">
        <f>SUBTOTAL(7,P54:P56)</f>
        <v>4.9402064369821606</v>
      </c>
      <c r="Q58" s="93">
        <f>SUBTOTAL(7,Q54:Q56)</f>
        <v>29.903567234250538</v>
      </c>
      <c r="R58" s="93">
        <f>SUBTOTAL(7,R54:R56)</f>
        <v>3.4791450433882938</v>
      </c>
      <c r="S58" s="93">
        <f>SUBTOTAL(7,S54:S56)</f>
        <v>2.4116636133943463</v>
      </c>
      <c r="T58" s="93">
        <f>SUBTOTAL(7,T54:T56)</f>
        <v>9.4296047283718931E-2</v>
      </c>
      <c r="U58" s="93">
        <f>SUBTOTAL(7,U54:U56)</f>
        <v>1.5060793350064059</v>
      </c>
      <c r="V58" s="31">
        <f>SUBTOTAL(7,V54:V56)</f>
        <v>1</v>
      </c>
      <c r="W58" s="93">
        <f>SUBTOTAL(7,W54:W56)</f>
        <v>1.6165807537309518</v>
      </c>
      <c r="X58" s="93">
        <f>SUBTOTAL(7,X54:X56)</f>
        <v>3.6295086903509843</v>
      </c>
      <c r="Y58" s="93">
        <f>SUBTOTAL(7,Y54:Y56)</f>
        <v>0.13305191388732104</v>
      </c>
      <c r="Z58" s="93">
        <f>SUBTOTAL(7,Z54:Z56)</f>
        <v>0.18111320810134715</v>
      </c>
      <c r="AA58" s="93">
        <f>SUBTOTAL(7,AA54:AA56)</f>
        <v>26.460713859870591</v>
      </c>
      <c r="AB58" s="93">
        <f>SUBTOTAL(7,AB54:AB56)</f>
        <v>33.378257537399008</v>
      </c>
      <c r="AC58" s="93">
        <f>SUBTOTAL(7,AC54:AC56)</f>
        <v>1.5122851028830273E-2</v>
      </c>
      <c r="AD58" s="93">
        <f>SUBTOTAL(7,AD54:AD56)</f>
        <v>7.1856451752254182</v>
      </c>
      <c r="AE58" s="91">
        <f>SUBTOTAL(7,AE54:AE56)</f>
        <v>0.17186750310688029</v>
      </c>
    </row>
    <row r="59" spans="1:31" ht="15" outlineLevel="3" thickTop="1" x14ac:dyDescent="0.3">
      <c r="A59" s="48">
        <v>33091</v>
      </c>
      <c r="B59" s="80" t="s">
        <v>64</v>
      </c>
      <c r="C59" s="7" t="s">
        <v>43</v>
      </c>
      <c r="D59" s="7" t="s">
        <v>49</v>
      </c>
      <c r="E59" s="7" t="s">
        <v>45</v>
      </c>
      <c r="F59" s="50">
        <v>15</v>
      </c>
      <c r="G59" s="17">
        <v>166.06</v>
      </c>
      <c r="H59" s="6">
        <v>171</v>
      </c>
      <c r="I59" s="56">
        <v>97.111111111111114</v>
      </c>
      <c r="J59" s="19">
        <v>2.79</v>
      </c>
      <c r="K59" s="18">
        <v>17.12</v>
      </c>
      <c r="L59" s="18">
        <v>349.38775510204084</v>
      </c>
      <c r="M59" s="20">
        <v>8</v>
      </c>
      <c r="N59" s="20">
        <v>64.836740000000006</v>
      </c>
      <c r="O59" s="62">
        <v>3.7049565714285717</v>
      </c>
      <c r="P59" s="20">
        <v>56.733600000000003</v>
      </c>
      <c r="Q59" s="20">
        <v>288.10000000000002</v>
      </c>
      <c r="R59" s="20">
        <v>130.14872</v>
      </c>
      <c r="S59" s="20">
        <v>36.644501278772374</v>
      </c>
      <c r="T59" s="21">
        <v>1.4327999999999999</v>
      </c>
      <c r="U59" s="20">
        <v>111.0765</v>
      </c>
      <c r="V59" s="6">
        <v>15</v>
      </c>
      <c r="W59" s="20">
        <v>27.6</v>
      </c>
      <c r="X59" s="20">
        <v>76</v>
      </c>
      <c r="Y59" s="22">
        <v>2.2716049382716048</v>
      </c>
      <c r="Z59" s="22">
        <v>3.7924151696606789</v>
      </c>
      <c r="AA59" s="20">
        <v>392.0962764887455</v>
      </c>
      <c r="AB59" s="20">
        <v>418.24871999999993</v>
      </c>
      <c r="AC59" s="18">
        <v>0.93747155158955553</v>
      </c>
      <c r="AD59" s="18">
        <v>26.152443511254432</v>
      </c>
      <c r="AE59" s="56">
        <v>1.7758287800111672</v>
      </c>
    </row>
    <row r="60" spans="1:31" ht="15" outlineLevel="3" thickBot="1" x14ac:dyDescent="0.35">
      <c r="A60" s="82">
        <v>33091</v>
      </c>
      <c r="B60" s="79" t="s">
        <v>64</v>
      </c>
      <c r="C60" s="81" t="s">
        <v>43</v>
      </c>
      <c r="D60" s="81" t="s">
        <v>49</v>
      </c>
      <c r="E60" s="81" t="s">
        <v>46</v>
      </c>
      <c r="F60" s="50">
        <v>16</v>
      </c>
      <c r="G60" s="17">
        <v>172.14</v>
      </c>
      <c r="H60" s="6">
        <v>169</v>
      </c>
      <c r="I60" s="56">
        <v>101.85798816568045</v>
      </c>
      <c r="J60" s="19">
        <v>2.87</v>
      </c>
      <c r="K60" s="18">
        <v>14.69</v>
      </c>
      <c r="L60" s="18">
        <v>299.79591836734693</v>
      </c>
      <c r="M60" s="20">
        <v>9.5</v>
      </c>
      <c r="N60" s="20">
        <v>80.212658750000003</v>
      </c>
      <c r="O60" s="62">
        <v>4.5835805000000001</v>
      </c>
      <c r="P60" s="20">
        <v>75.127700000000004</v>
      </c>
      <c r="Q60" s="20">
        <v>228.2</v>
      </c>
      <c r="R60" s="20">
        <v>131.96464</v>
      </c>
      <c r="S60" s="20">
        <v>40.512531969309464</v>
      </c>
      <c r="T60" s="21">
        <v>1.5840399999999999</v>
      </c>
      <c r="U60" s="20">
        <v>116.8578</v>
      </c>
      <c r="V60" s="6">
        <v>16</v>
      </c>
      <c r="W60" s="20">
        <v>28.4</v>
      </c>
      <c r="X60" s="20">
        <v>64.8</v>
      </c>
      <c r="Y60" s="22">
        <v>2.3374485596707819</v>
      </c>
      <c r="Z60" s="22">
        <v>3.2335329341317371</v>
      </c>
      <c r="AA60" s="20">
        <v>345.87943183045894</v>
      </c>
      <c r="AB60" s="20">
        <v>360.16463999999996</v>
      </c>
      <c r="AC60" s="18">
        <v>0.96033700540524736</v>
      </c>
      <c r="AD60" s="18">
        <v>14.285208169541022</v>
      </c>
      <c r="AE60" s="56">
        <v>1.6286891189616424</v>
      </c>
    </row>
    <row r="61" spans="1:31" ht="15" outlineLevel="3" thickTop="1" x14ac:dyDescent="0.3">
      <c r="A61" s="48">
        <v>33091</v>
      </c>
      <c r="B61" s="80" t="s">
        <v>64</v>
      </c>
      <c r="C61" s="81" t="s">
        <v>43</v>
      </c>
      <c r="D61" s="81" t="s">
        <v>49</v>
      </c>
      <c r="E61" s="81" t="s">
        <v>47</v>
      </c>
      <c r="F61" s="50">
        <v>17</v>
      </c>
      <c r="G61" s="17">
        <v>159.57</v>
      </c>
      <c r="H61" s="31">
        <v>176</v>
      </c>
      <c r="I61" s="56">
        <v>90.66477272727272</v>
      </c>
      <c r="J61" s="19">
        <v>2.87</v>
      </c>
      <c r="K61" s="85">
        <v>14.63</v>
      </c>
      <c r="L61" s="85">
        <v>298.57142857142861</v>
      </c>
      <c r="M61" s="86">
        <v>8.8000000000000007</v>
      </c>
      <c r="N61" s="86">
        <v>73.014922400000017</v>
      </c>
      <c r="O61" s="62">
        <v>4.1722812800000009</v>
      </c>
      <c r="P61" s="86">
        <v>67.628799999999998</v>
      </c>
      <c r="Q61" s="86">
        <v>221.9</v>
      </c>
      <c r="R61" s="86">
        <v>138.03208000000001</v>
      </c>
      <c r="S61" s="86">
        <v>41.326854219948842</v>
      </c>
      <c r="T61" s="87">
        <v>1.61588</v>
      </c>
      <c r="U61" s="86">
        <v>123.34229999999999</v>
      </c>
      <c r="V61" s="31">
        <v>17</v>
      </c>
      <c r="W61" s="86">
        <v>30.8</v>
      </c>
      <c r="X61" s="86">
        <v>80</v>
      </c>
      <c r="Y61" s="88">
        <v>2.5349794238683128</v>
      </c>
      <c r="Z61" s="88">
        <v>3.9920159680638725</v>
      </c>
      <c r="AA61" s="86">
        <v>346.42527818330967</v>
      </c>
      <c r="AB61" s="86">
        <v>359.93208000000004</v>
      </c>
      <c r="AC61" s="85">
        <v>0.96247402616435196</v>
      </c>
      <c r="AD61" s="85">
        <v>13.50680181669037</v>
      </c>
      <c r="AE61" s="56">
        <v>1.6700046810406717</v>
      </c>
    </row>
    <row r="62" spans="1:31" ht="15" outlineLevel="2" thickBot="1" x14ac:dyDescent="0.35">
      <c r="A62" s="82">
        <v>33091</v>
      </c>
      <c r="B62" s="79" t="s">
        <v>64</v>
      </c>
      <c r="C62" s="81"/>
      <c r="D62" s="95" t="s">
        <v>81</v>
      </c>
      <c r="E62" s="81"/>
      <c r="F62" s="50"/>
      <c r="G62" s="17">
        <f>SUBTOTAL(1,G59:G61)</f>
        <v>165.92333333333332</v>
      </c>
      <c r="H62" s="31">
        <f>SUBTOTAL(1,H59:H61)</f>
        <v>172</v>
      </c>
      <c r="I62" s="56">
        <f>SUBTOTAL(1,I59:I61)</f>
        <v>96.544624001354762</v>
      </c>
      <c r="J62" s="19">
        <f>SUBTOTAL(1,J59:J61)</f>
        <v>2.8433333333333337</v>
      </c>
      <c r="K62" s="85">
        <f>SUBTOTAL(1,K59:K61)</f>
        <v>15.480000000000002</v>
      </c>
      <c r="L62" s="85">
        <f>SUBTOTAL(1,L59:L61)</f>
        <v>315.91836734693879</v>
      </c>
      <c r="M62" s="86">
        <f>SUBTOTAL(1,M59:M61)</f>
        <v>8.7666666666666675</v>
      </c>
      <c r="N62" s="86">
        <f>SUBTOTAL(1,N59:N61)</f>
        <v>72.688107050000013</v>
      </c>
      <c r="O62" s="62">
        <f>SUBTOTAL(1,O59:O61)</f>
        <v>4.1536061171428571</v>
      </c>
      <c r="P62" s="86">
        <f>SUBTOTAL(1,P59:P61)</f>
        <v>66.49669999999999</v>
      </c>
      <c r="Q62" s="86">
        <f>SUBTOTAL(1,Q59:Q61)</f>
        <v>246.06666666666663</v>
      </c>
      <c r="R62" s="86">
        <f>SUBTOTAL(1,R59:R61)</f>
        <v>133.38181333333333</v>
      </c>
      <c r="S62" s="86">
        <f>SUBTOTAL(1,S59:S61)</f>
        <v>39.494629156010227</v>
      </c>
      <c r="T62" s="87">
        <f>SUBTOTAL(1,T59:T61)</f>
        <v>1.5442400000000001</v>
      </c>
      <c r="U62" s="86">
        <f>SUBTOTAL(1,U59:U61)</f>
        <v>117.09220000000001</v>
      </c>
      <c r="V62" s="31">
        <f>SUBTOTAL(1,V59:V61)</f>
        <v>16</v>
      </c>
      <c r="W62" s="86">
        <f>SUBTOTAL(1,W59:W61)</f>
        <v>28.933333333333334</v>
      </c>
      <c r="X62" s="86">
        <f>SUBTOTAL(1,X59:X61)</f>
        <v>73.600000000000009</v>
      </c>
      <c r="Y62" s="88">
        <f>SUBTOTAL(1,Y59:Y61)</f>
        <v>2.3813443072702332</v>
      </c>
      <c r="Z62" s="88">
        <f>SUBTOTAL(1,Z59:Z61)</f>
        <v>3.6726546906187632</v>
      </c>
      <c r="AA62" s="86">
        <f>SUBTOTAL(1,AA59:AA61)</f>
        <v>361.46699550083804</v>
      </c>
      <c r="AB62" s="86">
        <f>SUBTOTAL(1,AB59:AB61)</f>
        <v>379.44848000000002</v>
      </c>
      <c r="AC62" s="85">
        <f>SUBTOTAL(1,AC59:AC61)</f>
        <v>0.95342752771971828</v>
      </c>
      <c r="AD62" s="85">
        <f>SUBTOTAL(1,AD59:AD61)</f>
        <v>17.98148449916194</v>
      </c>
      <c r="AE62" s="56">
        <f>SUBTOTAL(1,AE59:AE61)</f>
        <v>1.6915075266711603</v>
      </c>
    </row>
    <row r="63" spans="1:31" ht="15" outlineLevel="1" thickTop="1" x14ac:dyDescent="0.3">
      <c r="A63" s="48">
        <v>33091</v>
      </c>
      <c r="B63" s="80" t="s">
        <v>64</v>
      </c>
      <c r="C63" s="81"/>
      <c r="D63" s="95" t="s">
        <v>78</v>
      </c>
      <c r="E63" s="81"/>
      <c r="F63" s="50"/>
      <c r="G63" s="90">
        <f>SUBTOTAL(7,G59:G61)</f>
        <v>6.2861143270969304</v>
      </c>
      <c r="H63" s="31">
        <f>SUBTOTAL(7,H59:H61)</f>
        <v>3.6055512754639891</v>
      </c>
      <c r="I63" s="91">
        <f>SUBTOTAL(7,I59:I61)</f>
        <v>5.6180689473156509</v>
      </c>
      <c r="J63" s="92">
        <f>SUBTOTAL(7,J59:J61)</f>
        <v>4.6188021535170098E-2</v>
      </c>
      <c r="K63" s="93">
        <f>SUBTOTAL(7,K59:K61)</f>
        <v>1.4205984654363109</v>
      </c>
      <c r="L63" s="93">
        <f>SUBTOTAL(7,L59:L61)</f>
        <v>28.991805417067564</v>
      </c>
      <c r="M63" s="93">
        <f>SUBTOTAL(7,M59:M61)</f>
        <v>0.75055534994651352</v>
      </c>
      <c r="N63" s="93">
        <f>SUBTOTAL(7,N59:N61)</f>
        <v>7.6931674592717059</v>
      </c>
      <c r="O63" s="91">
        <f>SUBTOTAL(7,O59:O61)</f>
        <v>0.43960956910124038</v>
      </c>
      <c r="P63" s="93">
        <f>SUBTOTAL(7,P59:P61)</f>
        <v>9.249160313779937</v>
      </c>
      <c r="Q63" s="93">
        <f>SUBTOTAL(7,Q59:Q61)</f>
        <v>36.53797111681709</v>
      </c>
      <c r="R63" s="93">
        <f>SUBTOTAL(7,R59:R61)</f>
        <v>4.1283321589878605</v>
      </c>
      <c r="S63" s="93">
        <f>SUBTOTAL(7,S59:S61)</f>
        <v>2.5016398360731018</v>
      </c>
      <c r="T63" s="93">
        <f>SUBTOTAL(7,T59:T61)</f>
        <v>9.7814117590458341E-2</v>
      </c>
      <c r="U63" s="93">
        <f>SUBTOTAL(7,U59:U61)</f>
        <v>6.136258626394425</v>
      </c>
      <c r="V63" s="31">
        <f>SUBTOTAL(7,V59:V61)</f>
        <v>1</v>
      </c>
      <c r="W63" s="93">
        <f>SUBTOTAL(7,W59:W61)</f>
        <v>1.6653327995729061</v>
      </c>
      <c r="X63" s="93">
        <f>SUBTOTAL(7,X59:X61)</f>
        <v>7.8790862414368856</v>
      </c>
      <c r="Y63" s="93">
        <f>SUBTOTAL(7,Y59:Y61)</f>
        <v>0.13706442794838739</v>
      </c>
      <c r="Z63" s="93">
        <f>SUBTOTAL(7,Z59:Z61)</f>
        <v>0.39316797611960475</v>
      </c>
      <c r="AA63" s="93">
        <f>SUBTOTAL(7,AA59:AA61)</f>
        <v>26.5271394507092</v>
      </c>
      <c r="AB63" s="93">
        <f>SUBTOTAL(7,AB59:AB61)</f>
        <v>33.602194706322344</v>
      </c>
      <c r="AC63" s="93">
        <f>SUBTOTAL(7,AC59:AC61)</f>
        <v>1.3859530840939518E-2</v>
      </c>
      <c r="AD63" s="93">
        <f>SUBTOTAL(7,AD59:AD61)</f>
        <v>7.0869533295705498</v>
      </c>
      <c r="AE63" s="91">
        <f>SUBTOTAL(7,AE59:AE61)</f>
        <v>7.5890047048995379E-2</v>
      </c>
    </row>
    <row r="64" spans="1:31" outlineLevel="3" x14ac:dyDescent="0.3">
      <c r="A64" s="47">
        <v>33098</v>
      </c>
      <c r="B64" s="80" t="s">
        <v>65</v>
      </c>
      <c r="C64" s="7" t="s">
        <v>43</v>
      </c>
      <c r="D64" s="7" t="s">
        <v>44</v>
      </c>
      <c r="E64" s="23" t="s">
        <v>45</v>
      </c>
      <c r="F64" s="52">
        <v>9</v>
      </c>
      <c r="G64" s="25">
        <v>164.87</v>
      </c>
      <c r="H64" s="24">
        <v>174</v>
      </c>
      <c r="I64" s="57">
        <v>94.752873563218401</v>
      </c>
      <c r="J64" s="27">
        <v>2.82</v>
      </c>
      <c r="K64" s="26">
        <v>14.3</v>
      </c>
      <c r="L64" s="26">
        <v>291.83673469387753</v>
      </c>
      <c r="M64" s="28">
        <v>12.3</v>
      </c>
      <c r="N64" s="28">
        <v>109.39398715</v>
      </c>
      <c r="O64" s="63">
        <v>6.2510849799999999</v>
      </c>
      <c r="P64" s="28">
        <v>109.22320000000001</v>
      </c>
      <c r="Q64" s="28">
        <v>225.3</v>
      </c>
      <c r="R64" s="28">
        <v>108.68506000000001</v>
      </c>
      <c r="S64" s="28">
        <v>20.765217391304347</v>
      </c>
      <c r="T64" s="29">
        <v>0.81191999999999998</v>
      </c>
      <c r="U64" s="28">
        <v>93.770200000000003</v>
      </c>
      <c r="V64" s="24">
        <v>9</v>
      </c>
      <c r="W64" s="28">
        <v>28</v>
      </c>
      <c r="X64" s="28">
        <v>58.8</v>
      </c>
      <c r="Y64" s="30">
        <v>2.3045267489711931</v>
      </c>
      <c r="Z64" s="30">
        <v>2.9341317365269459</v>
      </c>
      <c r="AA64" s="28">
        <v>317.84061057067998</v>
      </c>
      <c r="AB64" s="28">
        <v>333.98506000000003</v>
      </c>
      <c r="AC64" s="26">
        <v>0.95166116283967894</v>
      </c>
      <c r="AD64" s="26">
        <v>16.144449429320048</v>
      </c>
      <c r="AE64" s="57">
        <v>2.6169978852596318</v>
      </c>
    </row>
    <row r="65" spans="1:31" outlineLevel="3" x14ac:dyDescent="0.3">
      <c r="A65" s="47">
        <v>33098</v>
      </c>
      <c r="B65" s="80" t="s">
        <v>65</v>
      </c>
      <c r="C65" s="7" t="s">
        <v>43</v>
      </c>
      <c r="D65" s="7" t="s">
        <v>44</v>
      </c>
      <c r="E65" s="7" t="s">
        <v>46</v>
      </c>
      <c r="F65" s="50">
        <v>10</v>
      </c>
      <c r="G65" s="17">
        <v>187.02</v>
      </c>
      <c r="H65" s="6">
        <v>181</v>
      </c>
      <c r="I65" s="56">
        <v>103.32596685082873</v>
      </c>
      <c r="J65" s="19">
        <v>2.84</v>
      </c>
      <c r="K65" s="18">
        <v>13.82</v>
      </c>
      <c r="L65" s="18">
        <v>282.0408163265306</v>
      </c>
      <c r="M65" s="20">
        <v>12.5</v>
      </c>
      <c r="N65" s="20">
        <v>111.50226875</v>
      </c>
      <c r="O65" s="62">
        <v>6.3715582142857139</v>
      </c>
      <c r="P65" s="20">
        <v>110.43819999999999</v>
      </c>
      <c r="Q65" s="20">
        <v>213.25</v>
      </c>
      <c r="R65" s="20">
        <v>109.67444999999999</v>
      </c>
      <c r="S65" s="20">
        <v>23.004603580562655</v>
      </c>
      <c r="T65" s="21">
        <v>0.89947999999999995</v>
      </c>
      <c r="U65" s="20">
        <v>95.557299999999998</v>
      </c>
      <c r="V65" s="6">
        <v>10</v>
      </c>
      <c r="W65" s="20">
        <v>29.6</v>
      </c>
      <c r="X65" s="20">
        <v>58</v>
      </c>
      <c r="Y65" s="22">
        <v>2.4362139917695473</v>
      </c>
      <c r="Z65" s="22">
        <v>2.8942115768463075</v>
      </c>
      <c r="AA65" s="20">
        <v>310.37584547570913</v>
      </c>
      <c r="AB65" s="20">
        <v>322.92444999999998</v>
      </c>
      <c r="AC65" s="18">
        <v>0.96114074197760235</v>
      </c>
      <c r="AD65" s="18">
        <v>12.548604524290852</v>
      </c>
      <c r="AE65" s="56">
        <v>2.3837500528082898</v>
      </c>
    </row>
    <row r="66" spans="1:31" outlineLevel="3" x14ac:dyDescent="0.3">
      <c r="A66" s="47">
        <v>33098</v>
      </c>
      <c r="B66" s="80" t="s">
        <v>65</v>
      </c>
      <c r="C66" s="7" t="s">
        <v>43</v>
      </c>
      <c r="D66" s="7" t="s">
        <v>44</v>
      </c>
      <c r="E66" s="7" t="s">
        <v>47</v>
      </c>
      <c r="F66" s="50">
        <v>11</v>
      </c>
      <c r="G66" s="17">
        <v>187</v>
      </c>
      <c r="H66" s="6">
        <v>179</v>
      </c>
      <c r="I66" s="56">
        <v>104.46927374301676</v>
      </c>
      <c r="J66" s="19">
        <v>2.91</v>
      </c>
      <c r="K66" s="18">
        <v>12.18</v>
      </c>
      <c r="L66" s="18">
        <v>248.57142857142856</v>
      </c>
      <c r="M66" s="20">
        <v>13.3</v>
      </c>
      <c r="N66" s="20">
        <v>119.96726314999999</v>
      </c>
      <c r="O66" s="62">
        <v>6.85527218</v>
      </c>
      <c r="P66" s="20">
        <v>122.0119</v>
      </c>
      <c r="Q66" s="20">
        <v>171.55</v>
      </c>
      <c r="R66" s="20">
        <v>117.68731</v>
      </c>
      <c r="S66" s="20">
        <v>27.890537084398975</v>
      </c>
      <c r="T66" s="21">
        <v>1.0905199999999999</v>
      </c>
      <c r="U66" s="20">
        <v>106.33069999999999</v>
      </c>
      <c r="V66" s="6">
        <v>11</v>
      </c>
      <c r="W66" s="20">
        <v>32</v>
      </c>
      <c r="X66" s="20">
        <v>58</v>
      </c>
      <c r="Y66" s="22">
        <v>2.6337448559670782</v>
      </c>
      <c r="Z66" s="22">
        <v>2.8942115768463075</v>
      </c>
      <c r="AA66" s="20">
        <v>281.98992208864092</v>
      </c>
      <c r="AB66" s="20">
        <v>289.23730999999998</v>
      </c>
      <c r="AC66" s="18">
        <v>0.97494310844144194</v>
      </c>
      <c r="AD66" s="18">
        <v>7.2473879113590556</v>
      </c>
      <c r="AE66" s="56">
        <v>2.1098071658474855</v>
      </c>
    </row>
    <row r="67" spans="1:31" outlineLevel="2" x14ac:dyDescent="0.3">
      <c r="A67" s="47">
        <v>33098</v>
      </c>
      <c r="B67" s="80" t="s">
        <v>65</v>
      </c>
      <c r="C67" s="7"/>
      <c r="D67" s="89" t="s">
        <v>79</v>
      </c>
      <c r="E67" s="7"/>
      <c r="F67" s="50"/>
      <c r="G67" s="17">
        <f>SUBTOTAL(1,G64:G66)</f>
        <v>179.63</v>
      </c>
      <c r="H67" s="6">
        <f>SUBTOTAL(1,H64:H66)</f>
        <v>178</v>
      </c>
      <c r="I67" s="56">
        <f>SUBTOTAL(1,I64:I66)</f>
        <v>100.84937138568796</v>
      </c>
      <c r="J67" s="19">
        <f>SUBTOTAL(1,J64:J66)</f>
        <v>2.8566666666666669</v>
      </c>
      <c r="K67" s="18">
        <f>SUBTOTAL(1,K64:K66)</f>
        <v>13.433333333333332</v>
      </c>
      <c r="L67" s="18">
        <f>SUBTOTAL(1,L64:L66)</f>
        <v>274.1496598639456</v>
      </c>
      <c r="M67" s="20">
        <f>SUBTOTAL(1,M64:M66)</f>
        <v>12.700000000000001</v>
      </c>
      <c r="N67" s="20">
        <f>SUBTOTAL(1,N64:N66)</f>
        <v>113.62117301666666</v>
      </c>
      <c r="O67" s="62">
        <f>SUBTOTAL(1,O64:O66)</f>
        <v>6.4926384580952385</v>
      </c>
      <c r="P67" s="20">
        <f>SUBTOTAL(1,P64:P66)</f>
        <v>113.89110000000001</v>
      </c>
      <c r="Q67" s="20">
        <f>SUBTOTAL(1,Q64:Q66)</f>
        <v>203.36666666666667</v>
      </c>
      <c r="R67" s="20">
        <f>SUBTOTAL(1,R64:R66)</f>
        <v>112.01560666666667</v>
      </c>
      <c r="S67" s="20">
        <f>SUBTOTAL(1,S64:S66)</f>
        <v>23.886786018755327</v>
      </c>
      <c r="T67" s="21">
        <f>SUBTOTAL(1,T64:T66)</f>
        <v>0.93397333333333332</v>
      </c>
      <c r="U67" s="20">
        <f>SUBTOTAL(1,U64:U66)</f>
        <v>98.552733333333322</v>
      </c>
      <c r="V67" s="6">
        <f>SUBTOTAL(1,V64:V66)</f>
        <v>10</v>
      </c>
      <c r="W67" s="20">
        <f>SUBTOTAL(1,W64:W66)</f>
        <v>29.866666666666664</v>
      </c>
      <c r="X67" s="20">
        <f>SUBTOTAL(1,X64:X66)</f>
        <v>58.266666666666673</v>
      </c>
      <c r="Y67" s="22">
        <f>SUBTOTAL(1,Y64:Y66)</f>
        <v>2.4581618655692732</v>
      </c>
      <c r="Z67" s="22">
        <f>SUBTOTAL(1,Z64:Z66)</f>
        <v>2.9075182967398536</v>
      </c>
      <c r="AA67" s="20">
        <f>SUBTOTAL(1,AA64:AA66)</f>
        <v>303.40212604500999</v>
      </c>
      <c r="AB67" s="20">
        <f>SUBTOTAL(1,AB64:AB66)</f>
        <v>315.38227333333333</v>
      </c>
      <c r="AC67" s="18">
        <f>SUBTOTAL(1,AC64:AC66)</f>
        <v>0.96258167108624104</v>
      </c>
      <c r="AD67" s="18">
        <f>SUBTOTAL(1,AD64:AD66)</f>
        <v>11.980147288323318</v>
      </c>
      <c r="AE67" s="56">
        <f>SUBTOTAL(1,AE64:AE66)</f>
        <v>2.3701850346384692</v>
      </c>
    </row>
    <row r="68" spans="1:31" outlineLevel="1" x14ac:dyDescent="0.3">
      <c r="A68" s="47">
        <v>33098</v>
      </c>
      <c r="B68" s="80" t="s">
        <v>65</v>
      </c>
      <c r="C68" s="7"/>
      <c r="D68" s="89" t="s">
        <v>76</v>
      </c>
      <c r="E68" s="7"/>
      <c r="F68" s="50"/>
      <c r="G68" s="90">
        <f>SUBTOTAL(7,G64:G66)</f>
        <v>12.782538871444906</v>
      </c>
      <c r="H68" s="6">
        <f>SUBTOTAL(7,H64:H66)</f>
        <v>3.6055512754639891</v>
      </c>
      <c r="I68" s="91">
        <f>SUBTOTAL(7,I64:I66)</f>
        <v>5.3105792468395805</v>
      </c>
      <c r="J68" s="92">
        <f>SUBTOTAL(7,J64:J66)</f>
        <v>4.7258156262526253E-2</v>
      </c>
      <c r="K68" s="94">
        <f>SUBTOTAL(7,K64:K66)</f>
        <v>1.1116354318450516</v>
      </c>
      <c r="L68" s="94">
        <f>SUBTOTAL(7,L64:L66)</f>
        <v>22.686437384592878</v>
      </c>
      <c r="M68" s="94">
        <f>SUBTOTAL(7,M64:M66)</f>
        <v>0.52915026221291828</v>
      </c>
      <c r="N68" s="94">
        <f>SUBTOTAL(7,N64:N66)</f>
        <v>5.5960573452670772</v>
      </c>
      <c r="O68" s="91">
        <f>SUBTOTAL(7,O64:O66)</f>
        <v>0.31977470544383335</v>
      </c>
      <c r="P68" s="94">
        <f>SUBTOTAL(7,P64:P66)</f>
        <v>7.0590084806578872</v>
      </c>
      <c r="Q68" s="94">
        <f>SUBTOTAL(7,Q64:Q66)</f>
        <v>28.205067511589576</v>
      </c>
      <c r="R68" s="94">
        <f>SUBTOTAL(7,R64:R66)</f>
        <v>4.9366878743782561</v>
      </c>
      <c r="S68" s="94">
        <f>SUBTOTAL(7,S64:S66)</f>
        <v>3.6436560722565798</v>
      </c>
      <c r="T68" s="94">
        <f>SUBTOTAL(7,T64:T66)</f>
        <v>0.14246695242523177</v>
      </c>
      <c r="U68" s="94">
        <f>SUBTOTAL(7,U64:U66)</f>
        <v>6.7949249961521483</v>
      </c>
      <c r="V68" s="6">
        <f>SUBTOTAL(7,V64:V66)</f>
        <v>1</v>
      </c>
      <c r="W68" s="94">
        <f>SUBTOTAL(7,W64:W66)</f>
        <v>2.0132891827388666</v>
      </c>
      <c r="X68" s="94">
        <f>SUBTOTAL(7,X64:X66)</f>
        <v>0.46188021535169899</v>
      </c>
      <c r="Y68" s="94">
        <f>SUBTOTAL(7,Y64:Y66)</f>
        <v>0.16570281339414553</v>
      </c>
      <c r="Z68" s="94">
        <f>SUBTOTAL(7,Z64:Z66)</f>
        <v>2.3047914937709451E-2</v>
      </c>
      <c r="AA68" s="94">
        <f>SUBTOTAL(7,AA64:AA66)</f>
        <v>18.915404785059053</v>
      </c>
      <c r="AB68" s="94">
        <f>SUBTOTAL(7,AB64:AB66)</f>
        <v>23.307801358537326</v>
      </c>
      <c r="AC68" s="94">
        <f>SUBTOTAL(7,AC64:AC66)</f>
        <v>1.170766651698598E-2</v>
      </c>
      <c r="AD68" s="94">
        <f>SUBTOTAL(7,AD64:AD66)</f>
        <v>4.4756880627942</v>
      </c>
      <c r="AE68" s="91">
        <f>SUBTOTAL(7,AE64:AE66)</f>
        <v>0.25386731525132045</v>
      </c>
    </row>
    <row r="69" spans="1:31" outlineLevel="3" x14ac:dyDescent="0.3">
      <c r="A69" s="47">
        <v>33098</v>
      </c>
      <c r="B69" s="80" t="s">
        <v>65</v>
      </c>
      <c r="C69" s="7" t="s">
        <v>43</v>
      </c>
      <c r="D69" s="7" t="s">
        <v>48</v>
      </c>
      <c r="E69" s="7" t="s">
        <v>45</v>
      </c>
      <c r="F69" s="50">
        <v>12</v>
      </c>
      <c r="G69" s="17">
        <v>200.82</v>
      </c>
      <c r="H69" s="6">
        <v>185</v>
      </c>
      <c r="I69" s="56">
        <v>108.55135135135134</v>
      </c>
      <c r="J69" s="19">
        <v>2.94</v>
      </c>
      <c r="K69" s="18">
        <v>12.95</v>
      </c>
      <c r="L69" s="18">
        <v>264.28571428571428</v>
      </c>
      <c r="M69" s="20">
        <v>12.7</v>
      </c>
      <c r="N69" s="20">
        <v>113.61373715000001</v>
      </c>
      <c r="O69" s="62">
        <v>6.4922135514285717</v>
      </c>
      <c r="P69" s="20">
        <v>113.4665</v>
      </c>
      <c r="Q69" s="20">
        <v>188.35</v>
      </c>
      <c r="R69" s="20">
        <v>125.98177000000001</v>
      </c>
      <c r="S69" s="20">
        <v>37.662404092071611</v>
      </c>
      <c r="T69" s="21">
        <v>1.4726000000000001</v>
      </c>
      <c r="U69" s="20">
        <v>113.51300000000001</v>
      </c>
      <c r="V69" s="6">
        <v>12</v>
      </c>
      <c r="W69" s="20">
        <v>33.6</v>
      </c>
      <c r="X69" s="20">
        <v>62.8</v>
      </c>
      <c r="Y69" s="22">
        <v>2.7654320987654319</v>
      </c>
      <c r="Z69" s="22">
        <v>3.1337325349301399</v>
      </c>
      <c r="AA69" s="20">
        <v>307.84728301148141</v>
      </c>
      <c r="AB69" s="20">
        <v>314.33177000000001</v>
      </c>
      <c r="AC69" s="18">
        <v>0.97937056445640669</v>
      </c>
      <c r="AD69" s="18">
        <v>6.4844869885185972</v>
      </c>
      <c r="AE69" s="56">
        <v>1.6725136517044685</v>
      </c>
    </row>
    <row r="70" spans="1:31" outlineLevel="3" x14ac:dyDescent="0.3">
      <c r="A70" s="47">
        <v>33098</v>
      </c>
      <c r="B70" s="80" t="s">
        <v>65</v>
      </c>
      <c r="C70" s="7" t="s">
        <v>43</v>
      </c>
      <c r="D70" s="7" t="s">
        <v>48</v>
      </c>
      <c r="E70" s="7" t="s">
        <v>46</v>
      </c>
      <c r="F70" s="50">
        <v>13</v>
      </c>
      <c r="G70" s="17">
        <v>169.03</v>
      </c>
      <c r="H70" s="6">
        <v>179</v>
      </c>
      <c r="I70" s="56">
        <v>94.430167597765376</v>
      </c>
      <c r="J70" s="19">
        <v>2.96</v>
      </c>
      <c r="K70" s="18">
        <v>11.72</v>
      </c>
      <c r="L70" s="18">
        <v>239.18367346938777</v>
      </c>
      <c r="M70" s="20">
        <v>12.2</v>
      </c>
      <c r="N70" s="20">
        <v>108.34104139999999</v>
      </c>
      <c r="O70" s="62">
        <v>6.1909166514285712</v>
      </c>
      <c r="P70" s="20">
        <v>108.2041</v>
      </c>
      <c r="Q70" s="20">
        <v>153.65</v>
      </c>
      <c r="R70" s="20">
        <v>132.27533</v>
      </c>
      <c r="S70" s="20">
        <v>41.123273657289005</v>
      </c>
      <c r="T70" s="21">
        <v>1.60792</v>
      </c>
      <c r="U70" s="20">
        <v>122.1037</v>
      </c>
      <c r="V70" s="6">
        <v>13</v>
      </c>
      <c r="W70" s="20">
        <v>35.6</v>
      </c>
      <c r="X70" s="20">
        <v>76</v>
      </c>
      <c r="Y70" s="22">
        <v>2.9300411522633745</v>
      </c>
      <c r="Z70" s="22">
        <v>3.7924151696606789</v>
      </c>
      <c r="AA70" s="20">
        <v>287.02940344860082</v>
      </c>
      <c r="AB70" s="20">
        <v>285.92533000000003</v>
      </c>
      <c r="AC70" s="18">
        <v>1.0038614048241223</v>
      </c>
      <c r="AD70" s="18">
        <v>-1.1040734486007864</v>
      </c>
      <c r="AE70" s="56">
        <v>1.6082782112916065</v>
      </c>
    </row>
    <row r="71" spans="1:31" outlineLevel="3" x14ac:dyDescent="0.3">
      <c r="A71" s="47">
        <v>33098</v>
      </c>
      <c r="B71" s="80" t="s">
        <v>65</v>
      </c>
      <c r="C71" s="7" t="s">
        <v>43</v>
      </c>
      <c r="D71" s="7" t="s">
        <v>48</v>
      </c>
      <c r="E71" s="7" t="s">
        <v>47</v>
      </c>
      <c r="F71" s="50">
        <v>14</v>
      </c>
      <c r="G71" s="17">
        <v>197.7</v>
      </c>
      <c r="H71" s="6">
        <v>193</v>
      </c>
      <c r="I71" s="56">
        <v>102.43523316062175</v>
      </c>
      <c r="J71" s="19">
        <v>2.96</v>
      </c>
      <c r="K71" s="18">
        <v>11.91</v>
      </c>
      <c r="L71" s="18">
        <v>243.0612244897959</v>
      </c>
      <c r="M71" s="20">
        <v>12.4</v>
      </c>
      <c r="N71" s="20">
        <v>110.4477296</v>
      </c>
      <c r="O71" s="62">
        <v>6.3112988342857141</v>
      </c>
      <c r="P71" s="20">
        <v>112.10899999999999</v>
      </c>
      <c r="Q71" s="20">
        <v>161.44999999999999</v>
      </c>
      <c r="R71" s="20">
        <v>128.54779000000002</v>
      </c>
      <c r="S71" s="20">
        <v>36.237340153452685</v>
      </c>
      <c r="T71" s="21">
        <v>1.4168800000000001</v>
      </c>
      <c r="U71" s="20">
        <v>117.85980000000001</v>
      </c>
      <c r="V71" s="6">
        <v>14</v>
      </c>
      <c r="W71" s="20">
        <v>32</v>
      </c>
      <c r="X71" s="20">
        <v>66</v>
      </c>
      <c r="Y71" s="22">
        <v>2.6337448559670782</v>
      </c>
      <c r="Z71" s="22">
        <v>3.2934131736526946</v>
      </c>
      <c r="AA71" s="20">
        <v>285.22572267286836</v>
      </c>
      <c r="AB71" s="20">
        <v>289.99779000000001</v>
      </c>
      <c r="AC71" s="18">
        <v>0.98354447002119683</v>
      </c>
      <c r="AD71" s="18">
        <v>4.7720673271316514</v>
      </c>
      <c r="AE71" s="56">
        <v>1.7736924047908083</v>
      </c>
    </row>
    <row r="72" spans="1:31" outlineLevel="2" x14ac:dyDescent="0.3">
      <c r="A72" s="47">
        <v>33098</v>
      </c>
      <c r="B72" s="80" t="s">
        <v>65</v>
      </c>
      <c r="C72" s="7"/>
      <c r="D72" s="89" t="s">
        <v>80</v>
      </c>
      <c r="E72" s="7"/>
      <c r="F72" s="50"/>
      <c r="G72" s="17">
        <f>SUBTOTAL(1,G69:G71)</f>
        <v>189.18333333333331</v>
      </c>
      <c r="H72" s="6">
        <f>SUBTOTAL(1,H69:H71)</f>
        <v>185.66666666666666</v>
      </c>
      <c r="I72" s="56">
        <f>SUBTOTAL(1,I69:I71)</f>
        <v>101.80558403657949</v>
      </c>
      <c r="J72" s="19">
        <f>SUBTOTAL(1,J69:J71)</f>
        <v>2.9533333333333331</v>
      </c>
      <c r="K72" s="18">
        <f>SUBTOTAL(1,K69:K71)</f>
        <v>12.193333333333333</v>
      </c>
      <c r="L72" s="18">
        <f>SUBTOTAL(1,L69:L71)</f>
        <v>248.84353741496599</v>
      </c>
      <c r="M72" s="20">
        <f>SUBTOTAL(1,M69:M71)</f>
        <v>12.433333333333332</v>
      </c>
      <c r="N72" s="20">
        <f>SUBTOTAL(1,N69:N71)</f>
        <v>110.80083605</v>
      </c>
      <c r="O72" s="62">
        <f>SUBTOTAL(1,O69:O71)</f>
        <v>6.331476345714286</v>
      </c>
      <c r="P72" s="20">
        <f>SUBTOTAL(1,P69:P71)</f>
        <v>111.25986666666665</v>
      </c>
      <c r="Q72" s="20">
        <f>SUBTOTAL(1,Q69:Q71)</f>
        <v>167.81666666666666</v>
      </c>
      <c r="R72" s="20">
        <f>SUBTOTAL(1,R69:R71)</f>
        <v>128.93496333333334</v>
      </c>
      <c r="S72" s="20">
        <f>SUBTOTAL(1,S69:S71)</f>
        <v>38.341005967604438</v>
      </c>
      <c r="T72" s="21">
        <f>SUBTOTAL(1,T69:T71)</f>
        <v>1.4991333333333332</v>
      </c>
      <c r="U72" s="20">
        <f>SUBTOTAL(1,U69:U71)</f>
        <v>117.82549999999999</v>
      </c>
      <c r="V72" s="6">
        <f>SUBTOTAL(1,V69:V71)</f>
        <v>13</v>
      </c>
      <c r="W72" s="20">
        <f>SUBTOTAL(1,W69:W71)</f>
        <v>33.733333333333334</v>
      </c>
      <c r="X72" s="20">
        <f>SUBTOTAL(1,X69:X71)</f>
        <v>68.266666666666666</v>
      </c>
      <c r="Y72" s="22">
        <f>SUBTOTAL(1,Y69:Y71)</f>
        <v>2.7764060356652949</v>
      </c>
      <c r="Z72" s="22">
        <f>SUBTOTAL(1,Z69:Z71)</f>
        <v>3.4065202927478375</v>
      </c>
      <c r="AA72" s="20">
        <f>SUBTOTAL(1,AA69:AA71)</f>
        <v>293.36746971098358</v>
      </c>
      <c r="AB72" s="20">
        <f>SUBTOTAL(1,AB69:AB71)</f>
        <v>296.75163000000003</v>
      </c>
      <c r="AC72" s="18">
        <f>SUBTOTAL(1,AC69:AC71)</f>
        <v>0.98892547976724199</v>
      </c>
      <c r="AD72" s="18">
        <f>SUBTOTAL(1,AD69:AD71)</f>
        <v>3.3841602890164872</v>
      </c>
      <c r="AE72" s="56">
        <f>SUBTOTAL(1,AE69:AE71)</f>
        <v>1.6848280892622947</v>
      </c>
    </row>
    <row r="73" spans="1:31" outlineLevel="1" x14ac:dyDescent="0.3">
      <c r="A73" s="47">
        <v>33098</v>
      </c>
      <c r="B73" s="80" t="s">
        <v>65</v>
      </c>
      <c r="C73" s="7"/>
      <c r="D73" s="89" t="s">
        <v>77</v>
      </c>
      <c r="E73" s="7"/>
      <c r="F73" s="50"/>
      <c r="G73" s="90">
        <f>SUBTOTAL(7,G69:G71)</f>
        <v>17.522877427332908</v>
      </c>
      <c r="H73" s="6">
        <f>SUBTOTAL(7,H69:H71)</f>
        <v>7.0237691685684922</v>
      </c>
      <c r="I73" s="91">
        <f>SUBTOTAL(7,I69:I71)</f>
        <v>7.0816171292431829</v>
      </c>
      <c r="J73" s="92">
        <f>SUBTOTAL(7,J69:J71)</f>
        <v>1.1547005383792526E-2</v>
      </c>
      <c r="K73" s="94">
        <f>SUBTOTAL(7,K69:K71)</f>
        <v>0.66214298556530249</v>
      </c>
      <c r="L73" s="94">
        <f>SUBTOTAL(7,L69:L71)</f>
        <v>13.513122154393935</v>
      </c>
      <c r="M73" s="94">
        <f>SUBTOTAL(7,M69:M71)</f>
        <v>0.25166114784235827</v>
      </c>
      <c r="N73" s="94">
        <f>SUBTOTAL(7,N69:N71)</f>
        <v>2.6540239715930873</v>
      </c>
      <c r="O73" s="91">
        <f>SUBTOTAL(7,O69:O71)</f>
        <v>0.15165851266246211</v>
      </c>
      <c r="P73" s="94">
        <f>SUBTOTAL(7,P69:P71)</f>
        <v>2.7320292830299846</v>
      </c>
      <c r="Q73" s="94">
        <f>SUBTOTAL(7,Q69:Q71)</f>
        <v>18.205035933316175</v>
      </c>
      <c r="R73" s="94">
        <f>SUBTOTAL(7,R69:R71)</f>
        <v>3.1645934590296556</v>
      </c>
      <c r="S73" s="94">
        <f>SUBTOTAL(7,S69:S71)</f>
        <v>2.5126603292297713</v>
      </c>
      <c r="T73" s="94">
        <f>SUBTOTAL(7,T69:T71)</f>
        <v>9.8245018872883935E-2</v>
      </c>
      <c r="U73" s="94">
        <f>SUBTOTAL(7,U69:U71)</f>
        <v>4.2954527107162983</v>
      </c>
      <c r="V73" s="6">
        <f>SUBTOTAL(7,V69:V71)</f>
        <v>1</v>
      </c>
      <c r="W73" s="94">
        <f>SUBTOTAL(7,W69:W71)</f>
        <v>1.8036999011291583</v>
      </c>
      <c r="X73" s="94">
        <f>SUBTOTAL(7,X69:X71)</f>
        <v>6.885734044626858</v>
      </c>
      <c r="Y73" s="94">
        <f>SUBTOTAL(7,Y69:Y71)</f>
        <v>0.14845266675960145</v>
      </c>
      <c r="Z73" s="94">
        <f>SUBTOTAL(7,Z69:Z71)</f>
        <v>0.34359950322489313</v>
      </c>
      <c r="AA73" s="94">
        <f>SUBTOTAL(7,AA69:AA71)</f>
        <v>12.572273501564592</v>
      </c>
      <c r="AB73" s="94">
        <f>SUBTOTAL(7,AB69:AB71)</f>
        <v>15.360410945921977</v>
      </c>
      <c r="AC73" s="94">
        <f>SUBTOTAL(7,AC69:AC71)</f>
        <v>1.3102166419890532E-2</v>
      </c>
      <c r="AD73" s="94">
        <f>SUBTOTAL(7,AD69:AD71)</f>
        <v>3.9801101538513461</v>
      </c>
      <c r="AE73" s="91">
        <f>SUBTOTAL(7,AE69:AE71)</f>
        <v>8.3391833425234346E-2</v>
      </c>
    </row>
    <row r="74" spans="1:31" outlineLevel="3" x14ac:dyDescent="0.3">
      <c r="A74" s="47">
        <v>33098</v>
      </c>
      <c r="B74" s="80" t="s">
        <v>65</v>
      </c>
      <c r="C74" s="7" t="s">
        <v>43</v>
      </c>
      <c r="D74" s="7" t="s">
        <v>49</v>
      </c>
      <c r="E74" s="7" t="s">
        <v>45</v>
      </c>
      <c r="F74" s="50">
        <v>15</v>
      </c>
      <c r="G74" s="17">
        <v>189.23</v>
      </c>
      <c r="H74" s="6">
        <v>187</v>
      </c>
      <c r="I74" s="56">
        <v>101.19251336898397</v>
      </c>
      <c r="J74" s="19">
        <v>2.89</v>
      </c>
      <c r="K74" s="18">
        <v>14.35</v>
      </c>
      <c r="L74" s="18">
        <v>292.85714285714289</v>
      </c>
      <c r="M74" s="20">
        <v>11.7</v>
      </c>
      <c r="N74" s="20">
        <v>103.08826315</v>
      </c>
      <c r="O74" s="62">
        <v>5.8907578942857146</v>
      </c>
      <c r="P74" s="20">
        <v>101.913</v>
      </c>
      <c r="Q74" s="20">
        <v>218.75</v>
      </c>
      <c r="R74" s="20">
        <v>128.75565</v>
      </c>
      <c r="S74" s="20">
        <v>39.087468030690538</v>
      </c>
      <c r="T74" s="21">
        <v>1.5283199999999999</v>
      </c>
      <c r="U74" s="20">
        <v>114.2744</v>
      </c>
      <c r="V74" s="6">
        <v>15</v>
      </c>
      <c r="W74" s="20">
        <v>31.6</v>
      </c>
      <c r="X74" s="20">
        <v>65.599999999999994</v>
      </c>
      <c r="Y74" s="22">
        <v>2.6008230452674899</v>
      </c>
      <c r="Z74" s="22">
        <v>3.2734530938123751</v>
      </c>
      <c r="AA74" s="20">
        <v>337.81888702691327</v>
      </c>
      <c r="AB74" s="20">
        <v>347.50565</v>
      </c>
      <c r="AC74" s="18">
        <v>0.9721248763204664</v>
      </c>
      <c r="AD74" s="18">
        <v>9.6867629730867293</v>
      </c>
      <c r="AE74" s="56">
        <v>1.6470195754161432</v>
      </c>
    </row>
    <row r="75" spans="1:31" outlineLevel="3" x14ac:dyDescent="0.3">
      <c r="A75" s="47">
        <v>33098</v>
      </c>
      <c r="B75" s="80" t="s">
        <v>65</v>
      </c>
      <c r="C75" s="7" t="s">
        <v>43</v>
      </c>
      <c r="D75" s="7" t="s">
        <v>49</v>
      </c>
      <c r="E75" s="7" t="s">
        <v>46</v>
      </c>
      <c r="F75" s="50">
        <v>16</v>
      </c>
      <c r="G75" s="17">
        <v>186.22</v>
      </c>
      <c r="H75" s="6">
        <v>170</v>
      </c>
      <c r="I75" s="56">
        <v>109.54117647058823</v>
      </c>
      <c r="J75" s="19">
        <v>3.01</v>
      </c>
      <c r="K75" s="18">
        <v>10.84</v>
      </c>
      <c r="L75" s="18">
        <v>221.22448979591834</v>
      </c>
      <c r="M75" s="20">
        <v>13.3</v>
      </c>
      <c r="N75" s="20">
        <v>119.96726314999999</v>
      </c>
      <c r="O75" s="62">
        <v>6.85527218</v>
      </c>
      <c r="P75" s="20">
        <v>123.5373</v>
      </c>
      <c r="Q75" s="20">
        <v>143.19999999999999</v>
      </c>
      <c r="R75" s="20">
        <v>126.12674</v>
      </c>
      <c r="S75" s="20">
        <v>45.602046035805628</v>
      </c>
      <c r="T75" s="21">
        <v>1.7830400000000002</v>
      </c>
      <c r="U75" s="20">
        <v>116.6469</v>
      </c>
      <c r="V75" s="6">
        <v>16</v>
      </c>
      <c r="W75" s="20">
        <v>34</v>
      </c>
      <c r="X75" s="20">
        <v>62.4</v>
      </c>
      <c r="Y75" s="22">
        <v>2.7983539094650203</v>
      </c>
      <c r="Z75" s="22">
        <v>3.1137724550898209</v>
      </c>
      <c r="AA75" s="20">
        <v>272.73866219627877</v>
      </c>
      <c r="AB75" s="20">
        <v>269.32673999999997</v>
      </c>
      <c r="AC75" s="18">
        <v>1.0126683380799055</v>
      </c>
      <c r="AD75" s="18">
        <v>-3.4119221962787947</v>
      </c>
      <c r="AE75" s="56">
        <v>1.3829065904298277</v>
      </c>
    </row>
    <row r="76" spans="1:31" outlineLevel="3" x14ac:dyDescent="0.3">
      <c r="A76" s="47">
        <v>33098</v>
      </c>
      <c r="B76" s="80" t="s">
        <v>65</v>
      </c>
      <c r="C76" s="7" t="s">
        <v>43</v>
      </c>
      <c r="D76" s="7" t="s">
        <v>49</v>
      </c>
      <c r="E76" s="81" t="s">
        <v>47</v>
      </c>
      <c r="F76" s="50">
        <v>17</v>
      </c>
      <c r="G76" s="17">
        <v>143.72999999999999</v>
      </c>
      <c r="H76" s="31">
        <v>161</v>
      </c>
      <c r="I76" s="56">
        <v>89.273291925465841</v>
      </c>
      <c r="J76" s="19">
        <v>2.94</v>
      </c>
      <c r="K76" s="85">
        <v>12</v>
      </c>
      <c r="L76" s="85">
        <v>244.89795918367346</v>
      </c>
      <c r="M76" s="86">
        <v>11.6</v>
      </c>
      <c r="N76" s="86">
        <v>102.04009760000001</v>
      </c>
      <c r="O76" s="62">
        <v>5.8308627200000007</v>
      </c>
      <c r="P76" s="86">
        <v>101.979</v>
      </c>
      <c r="Q76" s="86">
        <v>157.19999999999999</v>
      </c>
      <c r="R76" s="86">
        <v>139.00564</v>
      </c>
      <c r="S76" s="86">
        <v>44.584143222506391</v>
      </c>
      <c r="T76" s="87">
        <v>1.7432399999999999</v>
      </c>
      <c r="U76" s="86">
        <v>128.59899999999999</v>
      </c>
      <c r="V76" s="31">
        <v>17</v>
      </c>
      <c r="W76" s="86">
        <v>35.6</v>
      </c>
      <c r="X76" s="86">
        <v>74.400000000000006</v>
      </c>
      <c r="Y76" s="88">
        <v>2.9300411522633745</v>
      </c>
      <c r="Z76" s="88">
        <v>3.7125748502994016</v>
      </c>
      <c r="AA76" s="86">
        <v>296.12471840874264</v>
      </c>
      <c r="AB76" s="86">
        <v>296.20564000000002</v>
      </c>
      <c r="AC76" s="85">
        <v>0.99972680604171693</v>
      </c>
      <c r="AD76" s="85">
        <v>8.0921591257379077E-2</v>
      </c>
      <c r="AE76" s="56">
        <v>1.5589134381955441</v>
      </c>
    </row>
    <row r="77" spans="1:31" outlineLevel="2" x14ac:dyDescent="0.3">
      <c r="A77" s="47">
        <v>33098</v>
      </c>
      <c r="B77" s="80" t="s">
        <v>65</v>
      </c>
      <c r="C77" s="7"/>
      <c r="D77" s="89" t="s">
        <v>81</v>
      </c>
      <c r="E77" s="81"/>
      <c r="F77" s="50"/>
      <c r="G77" s="17">
        <f>SUBTOTAL(1,G74:G76)</f>
        <v>173.05999999999997</v>
      </c>
      <c r="H77" s="31">
        <f>SUBTOTAL(1,H74:H76)</f>
        <v>172.66666666666666</v>
      </c>
      <c r="I77" s="56">
        <f>SUBTOTAL(1,I74:I76)</f>
        <v>100.00232725501269</v>
      </c>
      <c r="J77" s="19">
        <f>SUBTOTAL(1,J74:J76)</f>
        <v>2.9466666666666668</v>
      </c>
      <c r="K77" s="85">
        <f>SUBTOTAL(1,K74:K76)</f>
        <v>12.396666666666667</v>
      </c>
      <c r="L77" s="85">
        <f>SUBTOTAL(1,L74:L76)</f>
        <v>252.99319727891157</v>
      </c>
      <c r="M77" s="86">
        <f>SUBTOTAL(1,M74:M76)</f>
        <v>12.200000000000001</v>
      </c>
      <c r="N77" s="86">
        <f>SUBTOTAL(1,N74:N76)</f>
        <v>108.36520796666667</v>
      </c>
      <c r="O77" s="62">
        <f>SUBTOTAL(1,O74:O76)</f>
        <v>6.1922975980952382</v>
      </c>
      <c r="P77" s="86">
        <f>SUBTOTAL(1,P74:P76)</f>
        <v>109.1431</v>
      </c>
      <c r="Q77" s="86">
        <f>SUBTOTAL(1,Q74:Q76)</f>
        <v>173.04999999999998</v>
      </c>
      <c r="R77" s="86">
        <f>SUBTOTAL(1,R74:R76)</f>
        <v>131.29601</v>
      </c>
      <c r="S77" s="86">
        <f>SUBTOTAL(1,S74:S76)</f>
        <v>43.091219096334186</v>
      </c>
      <c r="T77" s="87">
        <f>SUBTOTAL(1,T74:T76)</f>
        <v>1.6848666666666665</v>
      </c>
      <c r="U77" s="86">
        <f>SUBTOTAL(1,U74:U76)</f>
        <v>119.84010000000001</v>
      </c>
      <c r="V77" s="31">
        <f>SUBTOTAL(1,V74:V76)</f>
        <v>16</v>
      </c>
      <c r="W77" s="86">
        <f>SUBTOTAL(1,W74:W76)</f>
        <v>33.733333333333327</v>
      </c>
      <c r="X77" s="86">
        <f>SUBTOTAL(1,X74:X76)</f>
        <v>67.466666666666669</v>
      </c>
      <c r="Y77" s="88">
        <f>SUBTOTAL(1,Y74:Y76)</f>
        <v>2.7764060356652949</v>
      </c>
      <c r="Z77" s="88">
        <f>SUBTOTAL(1,Z74:Z76)</f>
        <v>3.3666001330671995</v>
      </c>
      <c r="AA77" s="86">
        <f>SUBTOTAL(1,AA74:AA76)</f>
        <v>302.22742254397821</v>
      </c>
      <c r="AB77" s="86">
        <f>SUBTOTAL(1,AB74:AB76)</f>
        <v>304.34601000000004</v>
      </c>
      <c r="AC77" s="85">
        <f>SUBTOTAL(1,AC74:AC76)</f>
        <v>0.99484000681402962</v>
      </c>
      <c r="AD77" s="85">
        <f>SUBTOTAL(1,AD74:AD76)</f>
        <v>2.1185874560217712</v>
      </c>
      <c r="AE77" s="56">
        <f>SUBTOTAL(1,AE74:AE76)</f>
        <v>1.5296132013471715</v>
      </c>
    </row>
    <row r="78" spans="1:31" outlineLevel="1" x14ac:dyDescent="0.3">
      <c r="A78" s="47">
        <v>33098</v>
      </c>
      <c r="B78" s="80" t="s">
        <v>65</v>
      </c>
      <c r="C78" s="7"/>
      <c r="D78" s="89" t="s">
        <v>78</v>
      </c>
      <c r="E78" s="81"/>
      <c r="F78" s="50"/>
      <c r="G78" s="90">
        <f>SUBTOTAL(7,G74:G76)</f>
        <v>25.445072214478238</v>
      </c>
      <c r="H78" s="31">
        <f>SUBTOTAL(7,H74:H76)</f>
        <v>13.203534880225572</v>
      </c>
      <c r="I78" s="91">
        <f>SUBTOTAL(7,I74:I76)</f>
        <v>10.186225661304597</v>
      </c>
      <c r="J78" s="92">
        <f>SUBTOTAL(7,J74:J76)</f>
        <v>6.0277137733416919E-2</v>
      </c>
      <c r="K78" s="93">
        <f>SUBTOTAL(7,K74:K76)</f>
        <v>1.7883045974702885</v>
      </c>
      <c r="L78" s="93">
        <f>SUBTOTAL(7,L74:L76)</f>
        <v>36.496012193271113</v>
      </c>
      <c r="M78" s="93">
        <f>SUBTOTAL(7,M74:M76)</f>
        <v>0.95393920141694633</v>
      </c>
      <c r="N78" s="93">
        <f>SUBTOTAL(7,N74:N76)</f>
        <v>10.061333217466036</v>
      </c>
      <c r="O78" s="91">
        <f>SUBTOTAL(7,O74:O76)</f>
        <v>0.57493332671234498</v>
      </c>
      <c r="P78" s="93">
        <f>SUBTOTAL(7,P74:P76)</f>
        <v>12.465786546784765</v>
      </c>
      <c r="Q78" s="93">
        <f>SUBTOTAL(7,Q74:Q76)</f>
        <v>40.191634701763505</v>
      </c>
      <c r="R78" s="93">
        <f>SUBTOTAL(7,R74:R76)</f>
        <v>6.8048944150295236</v>
      </c>
      <c r="S78" s="93">
        <f>SUBTOTAL(7,S74:S76)</f>
        <v>3.5045040278279909</v>
      </c>
      <c r="T78" s="93">
        <f>SUBTOTAL(7,T74:T76)</f>
        <v>0.13702610748807453</v>
      </c>
      <c r="U78" s="93">
        <f>SUBTOTAL(7,U74:U76)</f>
        <v>7.6776256726933427</v>
      </c>
      <c r="V78" s="31">
        <f>SUBTOTAL(7,V74:V76)</f>
        <v>1</v>
      </c>
      <c r="W78" s="93">
        <f>SUBTOTAL(7,W74:W76)</f>
        <v>2.0132891827388666</v>
      </c>
      <c r="X78" s="93">
        <f>SUBTOTAL(7,X74:X76)</f>
        <v>6.213962772123228</v>
      </c>
      <c r="Y78" s="93">
        <f>SUBTOTAL(7,Y74:Y76)</f>
        <v>0.1657028133941453</v>
      </c>
      <c r="Z78" s="93">
        <f>SUBTOTAL(7,Z74:Z76)</f>
        <v>0.31007798264087943</v>
      </c>
      <c r="AA78" s="93">
        <f>SUBTOTAL(7,AA74:AA76)</f>
        <v>32.966515805027839</v>
      </c>
      <c r="AB78" s="93">
        <f>SUBTOTAL(7,AB74:AB76)</f>
        <v>39.720079430933687</v>
      </c>
      <c r="AC78" s="93">
        <f>SUBTOTAL(7,AC74:AC76)</f>
        <v>2.0708782626667595E-2</v>
      </c>
      <c r="AD78" s="93">
        <f>SUBTOTAL(7,AD74:AD76)</f>
        <v>6.7829160339678829</v>
      </c>
      <c r="AE78" s="91">
        <f>SUBTOTAL(7,AE74:AE76)</f>
        <v>0.13447228383248155</v>
      </c>
    </row>
    <row r="79" spans="1:31" ht="15" outlineLevel="3" thickBot="1" x14ac:dyDescent="0.35">
      <c r="A79" s="82">
        <v>33105</v>
      </c>
      <c r="B79" s="79" t="s">
        <v>66</v>
      </c>
      <c r="C79" s="32" t="s">
        <v>43</v>
      </c>
      <c r="D79" s="32" t="s">
        <v>44</v>
      </c>
      <c r="E79" s="32" t="s">
        <v>45</v>
      </c>
      <c r="F79" s="51">
        <v>9</v>
      </c>
      <c r="G79" s="39">
        <v>199.9</v>
      </c>
      <c r="H79" s="33">
        <v>182</v>
      </c>
      <c r="I79" s="58">
        <v>109.83516483516485</v>
      </c>
      <c r="J79" s="41">
        <v>2.88</v>
      </c>
      <c r="K79" s="40">
        <v>11.11</v>
      </c>
      <c r="L79" s="40">
        <v>226.73469387755102</v>
      </c>
      <c r="M79" s="42">
        <v>14.4</v>
      </c>
      <c r="N79" s="42">
        <v>131.6898856</v>
      </c>
      <c r="O79" s="64">
        <v>7.5251363199999997</v>
      </c>
      <c r="P79" s="42">
        <v>140.4084</v>
      </c>
      <c r="Q79" s="42">
        <v>156.1268</v>
      </c>
      <c r="R79" s="42">
        <v>99.477694159999999</v>
      </c>
      <c r="S79" s="42">
        <v>20.765217391304347</v>
      </c>
      <c r="T79" s="43">
        <v>0.81191999999999998</v>
      </c>
      <c r="U79" s="42">
        <v>89.142099999999999</v>
      </c>
      <c r="V79" s="33">
        <v>9</v>
      </c>
      <c r="W79" s="42">
        <v>31.2</v>
      </c>
      <c r="X79" s="42">
        <v>46.8</v>
      </c>
      <c r="Y79" s="44">
        <v>2.5679012345679015</v>
      </c>
      <c r="Z79" s="44">
        <v>2.3353293413173652</v>
      </c>
      <c r="AA79" s="42">
        <v>252.40314184474065</v>
      </c>
      <c r="AB79" s="42">
        <v>255.60449416</v>
      </c>
      <c r="AC79" s="40">
        <v>0.98747536765431276</v>
      </c>
      <c r="AD79" s="40">
        <v>3.2013523152593564</v>
      </c>
      <c r="AE79" s="58">
        <v>2.3952962371021775</v>
      </c>
    </row>
    <row r="80" spans="1:31" ht="15" outlineLevel="3" thickTop="1" x14ac:dyDescent="0.3">
      <c r="A80" s="48">
        <v>33105</v>
      </c>
      <c r="B80" s="80" t="s">
        <v>66</v>
      </c>
      <c r="C80" s="7" t="s">
        <v>43</v>
      </c>
      <c r="D80" s="7" t="s">
        <v>44</v>
      </c>
      <c r="E80" s="7" t="s">
        <v>46</v>
      </c>
      <c r="F80" s="49">
        <v>10</v>
      </c>
      <c r="G80" s="14">
        <v>200.97</v>
      </c>
      <c r="H80" s="2">
        <v>179</v>
      </c>
      <c r="I80" s="55">
        <v>112.27374301675978</v>
      </c>
      <c r="J80" s="15">
        <v>2.88</v>
      </c>
      <c r="K80" s="13">
        <v>10.72</v>
      </c>
      <c r="L80" s="13">
        <v>218.77551020408166</v>
      </c>
      <c r="M80" s="4">
        <v>14.3</v>
      </c>
      <c r="N80" s="4">
        <v>130.62020914999999</v>
      </c>
      <c r="O80" s="61">
        <v>7.4640119514285708</v>
      </c>
      <c r="P80" s="4">
        <v>137.36340000000001</v>
      </c>
      <c r="Q80" s="4">
        <v>148.2097</v>
      </c>
      <c r="R80" s="4">
        <v>99.225682139999989</v>
      </c>
      <c r="S80" s="4">
        <v>22.393861892583121</v>
      </c>
      <c r="T80" s="16">
        <v>0.87560000000000004</v>
      </c>
      <c r="U80" s="4">
        <v>89.414199999999994</v>
      </c>
      <c r="V80" s="2">
        <v>10</v>
      </c>
      <c r="W80" s="4">
        <v>31.2</v>
      </c>
      <c r="X80" s="4">
        <v>47.6</v>
      </c>
      <c r="Y80" s="5">
        <v>2.5679012345679015</v>
      </c>
      <c r="Z80" s="5">
        <v>2.3752495009980037</v>
      </c>
      <c r="AA80" s="4">
        <v>246.11252283223067</v>
      </c>
      <c r="AB80" s="4">
        <v>247.43538214</v>
      </c>
      <c r="AC80" s="13">
        <v>0.99465371808862468</v>
      </c>
      <c r="AD80" s="13">
        <v>1.3228593077693347</v>
      </c>
      <c r="AE80" s="55">
        <v>2.2154660642268156</v>
      </c>
    </row>
    <row r="81" spans="1:31" outlineLevel="3" x14ac:dyDescent="0.3">
      <c r="A81" s="47">
        <v>33105</v>
      </c>
      <c r="B81" s="80" t="s">
        <v>66</v>
      </c>
      <c r="C81" s="3" t="s">
        <v>43</v>
      </c>
      <c r="D81" s="3" t="s">
        <v>44</v>
      </c>
      <c r="E81" s="7" t="s">
        <v>47</v>
      </c>
      <c r="F81" s="50">
        <v>11</v>
      </c>
      <c r="G81" s="17">
        <v>207.86</v>
      </c>
      <c r="H81" s="6">
        <v>180</v>
      </c>
      <c r="I81" s="56">
        <v>115.47777777777779</v>
      </c>
      <c r="J81" s="19">
        <v>2.95</v>
      </c>
      <c r="K81" s="18">
        <v>9.43</v>
      </c>
      <c r="L81" s="18">
        <v>192.44897959183675</v>
      </c>
      <c r="M81" s="20">
        <v>15</v>
      </c>
      <c r="N81" s="20">
        <v>138.124675</v>
      </c>
      <c r="O81" s="62">
        <v>7.8928385714285714</v>
      </c>
      <c r="P81" s="20">
        <v>146.9316</v>
      </c>
      <c r="Q81" s="20">
        <v>116.53360000000001</v>
      </c>
      <c r="R81" s="20">
        <v>103.83272432</v>
      </c>
      <c r="S81" s="20">
        <v>26.872634271099745</v>
      </c>
      <c r="T81" s="21">
        <v>1.0507200000000001</v>
      </c>
      <c r="U81" s="20">
        <v>96.118200000000002</v>
      </c>
      <c r="V81" s="6">
        <v>11</v>
      </c>
      <c r="W81" s="20">
        <v>33.6</v>
      </c>
      <c r="X81" s="20">
        <v>48</v>
      </c>
      <c r="Y81" s="22">
        <v>2.7654320987654319</v>
      </c>
      <c r="Z81" s="22">
        <v>2.3952095808383236</v>
      </c>
      <c r="AA81" s="20">
        <v>224.48225554254026</v>
      </c>
      <c r="AB81" s="20">
        <v>220.36632431999999</v>
      </c>
      <c r="AC81" s="18">
        <v>1.0186776778858615</v>
      </c>
      <c r="AD81" s="18">
        <v>-4.1159312225402687</v>
      </c>
      <c r="AE81" s="56">
        <v>1.9319416785213948</v>
      </c>
    </row>
    <row r="82" spans="1:31" outlineLevel="2" x14ac:dyDescent="0.3">
      <c r="A82" s="48">
        <v>33105</v>
      </c>
      <c r="B82" s="80" t="s">
        <v>66</v>
      </c>
      <c r="C82" s="3"/>
      <c r="D82" s="95" t="s">
        <v>79</v>
      </c>
      <c r="E82" s="7"/>
      <c r="F82" s="50"/>
      <c r="G82" s="17">
        <f>SUBTOTAL(1,G79:G81)</f>
        <v>202.91</v>
      </c>
      <c r="H82" s="6">
        <f>SUBTOTAL(1,H79:H81)</f>
        <v>180.33333333333334</v>
      </c>
      <c r="I82" s="56">
        <f>SUBTOTAL(1,I79:I81)</f>
        <v>112.5288952099008</v>
      </c>
      <c r="J82" s="19">
        <f>SUBTOTAL(1,J79:J81)</f>
        <v>2.9033333333333338</v>
      </c>
      <c r="K82" s="18">
        <f>SUBTOTAL(1,K79:K81)</f>
        <v>10.42</v>
      </c>
      <c r="L82" s="18">
        <f>SUBTOTAL(1,L79:L81)</f>
        <v>212.65306122448979</v>
      </c>
      <c r="M82" s="20">
        <f>SUBTOTAL(1,M79:M81)</f>
        <v>14.566666666666668</v>
      </c>
      <c r="N82" s="20">
        <f>SUBTOTAL(1,N79:N81)</f>
        <v>133.47825658333332</v>
      </c>
      <c r="O82" s="62">
        <f>SUBTOTAL(1,O79:O81)</f>
        <v>7.6273289476190476</v>
      </c>
      <c r="P82" s="20">
        <f>SUBTOTAL(1,P79:P81)</f>
        <v>141.56780000000001</v>
      </c>
      <c r="Q82" s="20">
        <f>SUBTOTAL(1,Q79:Q81)</f>
        <v>140.29003333333333</v>
      </c>
      <c r="R82" s="20">
        <f>SUBTOTAL(1,R79:R81)</f>
        <v>100.84536687333333</v>
      </c>
      <c r="S82" s="20">
        <f>SUBTOTAL(1,S79:S81)</f>
        <v>23.343904518329069</v>
      </c>
      <c r="T82" s="21">
        <f>SUBTOTAL(1,T79:T81)</f>
        <v>0.91274666666666671</v>
      </c>
      <c r="U82" s="20">
        <f>SUBTOTAL(1,U79:U81)</f>
        <v>91.558166666666651</v>
      </c>
      <c r="V82" s="6">
        <f>SUBTOTAL(1,V79:V81)</f>
        <v>10</v>
      </c>
      <c r="W82" s="20">
        <f>SUBTOTAL(1,W79:W81)</f>
        <v>32</v>
      </c>
      <c r="X82" s="20">
        <f>SUBTOTAL(1,X79:X81)</f>
        <v>47.466666666666669</v>
      </c>
      <c r="Y82" s="22">
        <f>SUBTOTAL(1,Y79:Y81)</f>
        <v>2.6337448559670782</v>
      </c>
      <c r="Z82" s="22">
        <f>SUBTOTAL(1,Z79:Z81)</f>
        <v>2.3685961410512308</v>
      </c>
      <c r="AA82" s="20">
        <f>SUBTOTAL(1,AA79:AA81)</f>
        <v>240.99930673983718</v>
      </c>
      <c r="AB82" s="20">
        <f>SUBTOTAL(1,AB79:AB81)</f>
        <v>241.13540020666665</v>
      </c>
      <c r="AC82" s="18">
        <f>SUBTOTAL(1,AC79:AC81)</f>
        <v>1.0002689212095996</v>
      </c>
      <c r="AD82" s="18">
        <f>SUBTOTAL(1,AD79:AD81)</f>
        <v>0.13609346682947412</v>
      </c>
      <c r="AE82" s="56">
        <f>SUBTOTAL(1,AE79:AE81)</f>
        <v>2.1809013266167958</v>
      </c>
    </row>
    <row r="83" spans="1:31" outlineLevel="1" x14ac:dyDescent="0.3">
      <c r="A83" s="47">
        <v>33105</v>
      </c>
      <c r="B83" s="80" t="s">
        <v>66</v>
      </c>
      <c r="C83" s="3"/>
      <c r="D83" s="95" t="s">
        <v>76</v>
      </c>
      <c r="E83" s="7"/>
      <c r="F83" s="50"/>
      <c r="G83" s="90">
        <f>SUBTOTAL(7,G79:G81)</f>
        <v>4.3200810177588167</v>
      </c>
      <c r="H83" s="6">
        <f>SUBTOTAL(7,H79:H81)</f>
        <v>1.5275252316519468</v>
      </c>
      <c r="I83" s="91">
        <f>SUBTOTAL(7,I79:I81)</f>
        <v>2.829946498837792</v>
      </c>
      <c r="J83" s="92">
        <f>SUBTOTAL(7,J79:J81)</f>
        <v>4.0414518843273968E-2</v>
      </c>
      <c r="K83" s="94">
        <f>SUBTOTAL(7,K79:K81)</f>
        <v>0.8792610533851708</v>
      </c>
      <c r="L83" s="94">
        <f>SUBTOTAL(7,L79:L81)</f>
        <v>17.944103130309603</v>
      </c>
      <c r="M83" s="94">
        <f>SUBTOTAL(7,M79:M81)</f>
        <v>0.3785938897200179</v>
      </c>
      <c r="N83" s="94">
        <f>SUBTOTAL(7,N79:N81)</f>
        <v>4.0593047439155807</v>
      </c>
      <c r="O83" s="91">
        <f>SUBTOTAL(7,O79:O81)</f>
        <v>0.23196027108089057</v>
      </c>
      <c r="P83" s="94">
        <f>SUBTOTAL(7,P79:P81)</f>
        <v>4.888329886576801</v>
      </c>
      <c r="Q83" s="94">
        <f>SUBTOTAL(7,Q79:Q81)</f>
        <v>20.951043211337595</v>
      </c>
      <c r="R83" s="94">
        <f>SUBTOTAL(7,R79:R81)</f>
        <v>2.5901941819431649</v>
      </c>
      <c r="S83" s="94">
        <f>SUBTOTAL(7,S79:S81)</f>
        <v>3.1626050937405044</v>
      </c>
      <c r="T83" s="94">
        <f>SUBTOTAL(7,T79:T81)</f>
        <v>0.12365785916525207</v>
      </c>
      <c r="U83" s="94">
        <f>SUBTOTAL(7,U79:U81)</f>
        <v>3.951447532656021</v>
      </c>
      <c r="V83" s="6">
        <f>SUBTOTAL(7,V79:V81)</f>
        <v>1</v>
      </c>
      <c r="W83" s="94">
        <f>SUBTOTAL(7,W79:W81)</f>
        <v>1.3856406460551032</v>
      </c>
      <c r="X83" s="94">
        <f>SUBTOTAL(7,X79:X81)</f>
        <v>0.61101009266078032</v>
      </c>
      <c r="Y83" s="94">
        <f>SUBTOTAL(7,Y79:Y81)</f>
        <v>0.11404449761770359</v>
      </c>
      <c r="Z83" s="94">
        <f>SUBTOTAL(7,Z79:Z81)</f>
        <v>3.0489525581875263E-2</v>
      </c>
      <c r="AA83" s="94">
        <f>SUBTOTAL(7,AA79:AA81)</f>
        <v>14.645910933797666</v>
      </c>
      <c r="AB83" s="94">
        <f>SUBTOTAL(7,AB79:AB81)</f>
        <v>18.444497355266051</v>
      </c>
      <c r="AC83" s="94">
        <f>SUBTOTAL(7,AC79:AC81)</f>
        <v>1.6341478529001224E-2</v>
      </c>
      <c r="AD83" s="94">
        <f>SUBTOTAL(7,AD79:AD81)</f>
        <v>3.8002591311717966</v>
      </c>
      <c r="AE83" s="91">
        <f>SUBTOTAL(7,AE79:AE81)</f>
        <v>0.23360308763784596</v>
      </c>
    </row>
    <row r="84" spans="1:31" outlineLevel="3" x14ac:dyDescent="0.3">
      <c r="A84" s="48">
        <v>33105</v>
      </c>
      <c r="B84" s="80" t="s">
        <v>66</v>
      </c>
      <c r="C84" s="3" t="s">
        <v>43</v>
      </c>
      <c r="D84" s="7" t="s">
        <v>48</v>
      </c>
      <c r="E84" s="7" t="s">
        <v>45</v>
      </c>
      <c r="F84" s="50">
        <v>12</v>
      </c>
      <c r="G84" s="17">
        <v>216.88</v>
      </c>
      <c r="H84" s="6">
        <v>179</v>
      </c>
      <c r="I84" s="56">
        <v>121.16201117318435</v>
      </c>
      <c r="J84" s="19">
        <v>3</v>
      </c>
      <c r="K84" s="18">
        <v>9.59</v>
      </c>
      <c r="L84" s="18">
        <v>195.71428571428569</v>
      </c>
      <c r="M84" s="20">
        <v>14.3</v>
      </c>
      <c r="N84" s="20">
        <v>130.62020914999999</v>
      </c>
      <c r="O84" s="62">
        <v>7.4640119514285708</v>
      </c>
      <c r="P84" s="20">
        <v>138.5197</v>
      </c>
      <c r="Q84" s="20">
        <v>121.6678</v>
      </c>
      <c r="R84" s="20">
        <v>110.89240835999999</v>
      </c>
      <c r="S84" s="20">
        <v>37.458823529411767</v>
      </c>
      <c r="T84" s="21">
        <v>1.4646400000000002</v>
      </c>
      <c r="U84" s="20">
        <v>102.83799999999999</v>
      </c>
      <c r="V84" s="6">
        <v>12</v>
      </c>
      <c r="W84" s="20">
        <v>36</v>
      </c>
      <c r="X84" s="20">
        <v>56.8</v>
      </c>
      <c r="Y84" s="22">
        <v>2.9629629629629628</v>
      </c>
      <c r="Z84" s="22">
        <v>2.8343313373253491</v>
      </c>
      <c r="AA84" s="20">
        <v>238.97040354398578</v>
      </c>
      <c r="AB84" s="20">
        <v>232.56020835999999</v>
      </c>
      <c r="AC84" s="18">
        <v>1.0275635940868393</v>
      </c>
      <c r="AD84" s="18">
        <v>-6.4101951839857918</v>
      </c>
      <c r="AE84" s="56">
        <v>1.4801907522927134</v>
      </c>
    </row>
    <row r="85" spans="1:31" outlineLevel="3" x14ac:dyDescent="0.3">
      <c r="A85" s="47">
        <v>33105</v>
      </c>
      <c r="B85" s="80" t="s">
        <v>66</v>
      </c>
      <c r="C85" s="3" t="s">
        <v>43</v>
      </c>
      <c r="D85" s="7" t="s">
        <v>48</v>
      </c>
      <c r="E85" s="23" t="s">
        <v>46</v>
      </c>
      <c r="F85" s="52">
        <v>13</v>
      </c>
      <c r="G85" s="25">
        <v>210.67</v>
      </c>
      <c r="H85" s="24">
        <v>186</v>
      </c>
      <c r="I85" s="57">
        <v>113.26344086021504</v>
      </c>
      <c r="J85" s="27">
        <v>3.05</v>
      </c>
      <c r="K85" s="26">
        <v>8.84</v>
      </c>
      <c r="L85" s="26">
        <v>180.40816326530611</v>
      </c>
      <c r="M85" s="28">
        <v>13.8</v>
      </c>
      <c r="N85" s="28">
        <v>125.28377740000001</v>
      </c>
      <c r="O85" s="63">
        <v>7.1590729942857143</v>
      </c>
      <c r="P85" s="28">
        <v>132.40440000000001</v>
      </c>
      <c r="Q85" s="28">
        <v>104.33069999999999</v>
      </c>
      <c r="R85" s="28">
        <v>114.39119234</v>
      </c>
      <c r="S85" s="28">
        <v>39.698209718670078</v>
      </c>
      <c r="T85" s="29">
        <v>1.5522</v>
      </c>
      <c r="U85" s="28">
        <v>107.4845</v>
      </c>
      <c r="V85" s="24">
        <v>13</v>
      </c>
      <c r="W85" s="28">
        <v>37.6</v>
      </c>
      <c r="X85" s="28">
        <v>59.6</v>
      </c>
      <c r="Y85" s="30">
        <v>3.0946502057613161</v>
      </c>
      <c r="Z85" s="30">
        <v>2.9740518962075848</v>
      </c>
      <c r="AA85" s="28">
        <v>226.17507508594511</v>
      </c>
      <c r="AB85" s="28">
        <v>218.72189234000001</v>
      </c>
      <c r="AC85" s="26">
        <v>1.0340760710608667</v>
      </c>
      <c r="AD85" s="26">
        <v>-7.4531827459450994</v>
      </c>
      <c r="AE85" s="57">
        <v>1.4407600890651977</v>
      </c>
    </row>
    <row r="86" spans="1:31" outlineLevel="3" x14ac:dyDescent="0.3">
      <c r="A86" s="48">
        <v>33105</v>
      </c>
      <c r="B86" s="80" t="s">
        <v>66</v>
      </c>
      <c r="C86" s="7" t="s">
        <v>43</v>
      </c>
      <c r="D86" s="7" t="s">
        <v>48</v>
      </c>
      <c r="E86" s="7" t="s">
        <v>47</v>
      </c>
      <c r="F86" s="50">
        <v>14</v>
      </c>
      <c r="G86" s="17">
        <v>218.46</v>
      </c>
      <c r="H86" s="6">
        <v>190</v>
      </c>
      <c r="I86" s="56">
        <v>114.97894736842105</v>
      </c>
      <c r="J86" s="19">
        <v>3</v>
      </c>
      <c r="K86" s="18">
        <v>9.0299999999999994</v>
      </c>
      <c r="L86" s="18">
        <v>184.28571428571428</v>
      </c>
      <c r="M86" s="20">
        <v>13.9</v>
      </c>
      <c r="N86" s="20">
        <v>126.34947035</v>
      </c>
      <c r="O86" s="62">
        <v>7.2199697342857148</v>
      </c>
      <c r="P86" s="20">
        <v>132.83179999999999</v>
      </c>
      <c r="Q86" s="20">
        <v>104.19289999999999</v>
      </c>
      <c r="R86" s="20">
        <v>113.48916998</v>
      </c>
      <c r="S86" s="20">
        <v>35.015856777493603</v>
      </c>
      <c r="T86" s="21">
        <v>1.3691199999999999</v>
      </c>
      <c r="U86" s="20">
        <v>106.5916</v>
      </c>
      <c r="V86" s="6">
        <v>14</v>
      </c>
      <c r="W86" s="20">
        <v>34.4</v>
      </c>
      <c r="X86" s="20">
        <v>55.6</v>
      </c>
      <c r="Y86" s="22">
        <v>2.831275720164609</v>
      </c>
      <c r="Z86" s="22">
        <v>2.7744510978043913</v>
      </c>
      <c r="AA86" s="20">
        <v>224.90729788117687</v>
      </c>
      <c r="AB86" s="20">
        <v>217.68206997999999</v>
      </c>
      <c r="AC86" s="18">
        <v>1.0331916537813184</v>
      </c>
      <c r="AD86" s="18">
        <v>-7.2252279011768792</v>
      </c>
      <c r="AE86" s="56">
        <v>1.620539670086625</v>
      </c>
    </row>
    <row r="87" spans="1:31" outlineLevel="2" x14ac:dyDescent="0.3">
      <c r="A87" s="47">
        <v>33105</v>
      </c>
      <c r="B87" s="80" t="s">
        <v>66</v>
      </c>
      <c r="C87" s="7"/>
      <c r="D87" s="89" t="s">
        <v>80</v>
      </c>
      <c r="E87" s="7"/>
      <c r="F87" s="50"/>
      <c r="G87" s="17">
        <f>SUBTOTAL(1,G84:G86)</f>
        <v>215.33666666666667</v>
      </c>
      <c r="H87" s="6">
        <f>SUBTOTAL(1,H84:H86)</f>
        <v>185</v>
      </c>
      <c r="I87" s="56">
        <f>SUBTOTAL(1,I84:I86)</f>
        <v>116.46813313394016</v>
      </c>
      <c r="J87" s="19">
        <f>SUBTOTAL(1,J84:J86)</f>
        <v>3.0166666666666671</v>
      </c>
      <c r="K87" s="18">
        <f>SUBTOTAL(1,K84:K86)</f>
        <v>9.1533333333333342</v>
      </c>
      <c r="L87" s="18">
        <f>SUBTOTAL(1,L84:L86)</f>
        <v>186.80272108843533</v>
      </c>
      <c r="M87" s="20">
        <f>SUBTOTAL(1,M84:M86)</f>
        <v>14</v>
      </c>
      <c r="N87" s="20">
        <f>SUBTOTAL(1,N84:N86)</f>
        <v>127.41781896666667</v>
      </c>
      <c r="O87" s="62">
        <f>SUBTOTAL(1,O84:O86)</f>
        <v>7.2810182266666672</v>
      </c>
      <c r="P87" s="20">
        <f>SUBTOTAL(1,P84:P86)</f>
        <v>134.58529999999999</v>
      </c>
      <c r="Q87" s="20">
        <f>SUBTOTAL(1,Q84:Q86)</f>
        <v>110.0638</v>
      </c>
      <c r="R87" s="20">
        <f>SUBTOTAL(1,R84:R86)</f>
        <v>112.92425689333334</v>
      </c>
      <c r="S87" s="20">
        <f>SUBTOTAL(1,S84:S86)</f>
        <v>37.39096334185848</v>
      </c>
      <c r="T87" s="21">
        <f>SUBTOTAL(1,T84:T86)</f>
        <v>1.4619866666666665</v>
      </c>
      <c r="U87" s="20">
        <f>SUBTOTAL(1,U84:U86)</f>
        <v>105.63803333333333</v>
      </c>
      <c r="V87" s="6">
        <f>SUBTOTAL(1,V84:V86)</f>
        <v>13</v>
      </c>
      <c r="W87" s="20">
        <f>SUBTOTAL(1,W84:W86)</f>
        <v>36</v>
      </c>
      <c r="X87" s="20">
        <f>SUBTOTAL(1,X84:X86)</f>
        <v>57.333333333333336</v>
      </c>
      <c r="Y87" s="22">
        <f>SUBTOTAL(1,Y84:Y86)</f>
        <v>2.9629629629629624</v>
      </c>
      <c r="Z87" s="22">
        <f>SUBTOTAL(1,Z84:Z86)</f>
        <v>2.8609447771124419</v>
      </c>
      <c r="AA87" s="20">
        <f>SUBTOTAL(1,AA84:AA86)</f>
        <v>230.01759217036928</v>
      </c>
      <c r="AB87" s="20">
        <f>SUBTOTAL(1,AB84:AB86)</f>
        <v>222.98805689333335</v>
      </c>
      <c r="AC87" s="18">
        <f>SUBTOTAL(1,AC84:AC86)</f>
        <v>1.0316104396430081</v>
      </c>
      <c r="AD87" s="18">
        <f>SUBTOTAL(1,AD84:AD86)</f>
        <v>-7.0295352770359232</v>
      </c>
      <c r="AE87" s="56">
        <f>SUBTOTAL(1,AE84:AE86)</f>
        <v>1.513830170481512</v>
      </c>
    </row>
    <row r="88" spans="1:31" outlineLevel="1" x14ac:dyDescent="0.3">
      <c r="A88" s="48">
        <v>33105</v>
      </c>
      <c r="B88" s="80" t="s">
        <v>66</v>
      </c>
      <c r="C88" s="7"/>
      <c r="D88" s="89" t="s">
        <v>77</v>
      </c>
      <c r="E88" s="7"/>
      <c r="F88" s="50"/>
      <c r="G88" s="90">
        <f>SUBTOTAL(7,G84:G86)</f>
        <v>4.1179404237231765</v>
      </c>
      <c r="H88" s="6">
        <f>SUBTOTAL(7,H84:H86)</f>
        <v>5.5677643628300215</v>
      </c>
      <c r="I88" s="91">
        <f>SUBTOTAL(7,I84:I86)</f>
        <v>4.1545287254270571</v>
      </c>
      <c r="J88" s="92">
        <f>SUBTOTAL(7,J84:J86)</f>
        <v>2.8867513459481187E-2</v>
      </c>
      <c r="K88" s="94">
        <f>SUBTOTAL(7,K84:K86)</f>
        <v>0.38991452054691861</v>
      </c>
      <c r="L88" s="94">
        <f>SUBTOTAL(7,L84:L86)</f>
        <v>7.9574391948350645</v>
      </c>
      <c r="M88" s="94">
        <f>SUBTOTAL(7,M84:M86)</f>
        <v>0.26457513110645914</v>
      </c>
      <c r="N88" s="94">
        <f>SUBTOTAL(7,N84:N86)</f>
        <v>2.8240755178734447</v>
      </c>
      <c r="O88" s="91">
        <f>SUBTOTAL(7,O84:O86)</f>
        <v>0.16137574387848244</v>
      </c>
      <c r="P88" s="94">
        <f>SUBTOTAL(7,P84:P86)</f>
        <v>3.4139852386909939</v>
      </c>
      <c r="Q88" s="94">
        <f>SUBTOTAL(7,Q84:Q86)</f>
        <v>10.049594977410784</v>
      </c>
      <c r="R88" s="94">
        <f>SUBTOTAL(7,R84:R86)</f>
        <v>1.8165124363162588</v>
      </c>
      <c r="S88" s="94">
        <f>SUBTOTAL(7,S84:S86)</f>
        <v>2.3419139651633389</v>
      </c>
      <c r="T88" s="94">
        <f>SUBTOTAL(7,T84:T86)</f>
        <v>9.1568836037886514E-2</v>
      </c>
      <c r="U88" s="94">
        <f>SUBTOTAL(7,U84:U86)</f>
        <v>2.4656556132869296</v>
      </c>
      <c r="V88" s="6">
        <f>SUBTOTAL(7,V84:V86)</f>
        <v>1</v>
      </c>
      <c r="W88" s="94">
        <f>SUBTOTAL(7,W84:W86)</f>
        <v>1.6000000000000014</v>
      </c>
      <c r="X88" s="94">
        <f>SUBTOTAL(7,X84:X86)</f>
        <v>2.0526405757787543</v>
      </c>
      <c r="Y88" s="94">
        <f>SUBTOTAL(7,Y84:Y86)</f>
        <v>0.13168724279835353</v>
      </c>
      <c r="Z88" s="94">
        <f>SUBTOTAL(7,Z84:Z86)</f>
        <v>0.10242717444005757</v>
      </c>
      <c r="AA88" s="94">
        <f>SUBTOTAL(7,AA84:AA86)</f>
        <v>7.7792312203006642</v>
      </c>
      <c r="AB88" s="94">
        <f>SUBTOTAL(7,AB84:AB86)</f>
        <v>8.3060141109135799</v>
      </c>
      <c r="AC88" s="94">
        <f>SUBTOTAL(7,AC84:AC86)</f>
        <v>3.5324591572590941E-3</v>
      </c>
      <c r="AD88" s="94">
        <f>SUBTOTAL(7,AD84:AD86)</f>
        <v>0.54834064773444913</v>
      </c>
      <c r="AE88" s="91">
        <f>SUBTOTAL(7,AE84:AE86)</f>
        <v>9.4492763109778138E-2</v>
      </c>
    </row>
    <row r="89" spans="1:31" outlineLevel="3" x14ac:dyDescent="0.3">
      <c r="A89" s="47">
        <v>33105</v>
      </c>
      <c r="B89" s="80" t="s">
        <v>66</v>
      </c>
      <c r="C89" s="7" t="s">
        <v>43</v>
      </c>
      <c r="D89" s="7" t="s">
        <v>49</v>
      </c>
      <c r="E89" s="7" t="s">
        <v>45</v>
      </c>
      <c r="F89" s="50">
        <v>15</v>
      </c>
      <c r="G89" s="17">
        <v>204.1</v>
      </c>
      <c r="H89" s="6">
        <v>174</v>
      </c>
      <c r="I89" s="56">
        <v>117.29885057471263</v>
      </c>
      <c r="J89" s="19">
        <v>2.97</v>
      </c>
      <c r="K89" s="18">
        <v>10.5</v>
      </c>
      <c r="L89" s="18">
        <v>214.28571428571428</v>
      </c>
      <c r="M89" s="20">
        <v>13.4</v>
      </c>
      <c r="N89" s="20">
        <v>121.02897259999999</v>
      </c>
      <c r="O89" s="62">
        <v>6.9159412914285712</v>
      </c>
      <c r="P89" s="20">
        <v>126.0595</v>
      </c>
      <c r="Q89" s="20">
        <v>142.5282</v>
      </c>
      <c r="R89" s="20">
        <v>110.43576684</v>
      </c>
      <c r="S89" s="20">
        <v>39.698209718670078</v>
      </c>
      <c r="T89" s="21">
        <v>1.5522</v>
      </c>
      <c r="U89" s="20">
        <v>101.0004</v>
      </c>
      <c r="V89" s="6">
        <v>15</v>
      </c>
      <c r="W89" s="20">
        <v>34.4</v>
      </c>
      <c r="X89" s="20">
        <v>56.4</v>
      </c>
      <c r="Y89" s="22">
        <v>2.831275720164609</v>
      </c>
      <c r="Z89" s="22">
        <v>2.8143712574850301</v>
      </c>
      <c r="AA89" s="20">
        <v>259.62957098203401</v>
      </c>
      <c r="AB89" s="20">
        <v>252.96396684000001</v>
      </c>
      <c r="AC89" s="18">
        <v>1.0263500142937354</v>
      </c>
      <c r="AD89" s="18">
        <v>-6.6656041420339989</v>
      </c>
      <c r="AE89" s="56">
        <v>1.3909414004136065</v>
      </c>
    </row>
    <row r="90" spans="1:31" outlineLevel="3" x14ac:dyDescent="0.3">
      <c r="A90" s="48">
        <v>33105</v>
      </c>
      <c r="B90" s="80" t="s">
        <v>66</v>
      </c>
      <c r="C90" s="7" t="s">
        <v>43</v>
      </c>
      <c r="D90" s="7" t="s">
        <v>49</v>
      </c>
      <c r="E90" s="7" t="s">
        <v>46</v>
      </c>
      <c r="F90" s="50">
        <v>16</v>
      </c>
      <c r="G90" s="17">
        <v>219.02</v>
      </c>
      <c r="H90" s="6">
        <v>173</v>
      </c>
      <c r="I90" s="56">
        <v>126.60115606936418</v>
      </c>
      <c r="J90" s="19">
        <v>3.08</v>
      </c>
      <c r="K90" s="18">
        <v>8.39</v>
      </c>
      <c r="L90" s="18">
        <v>171.22448979591837</v>
      </c>
      <c r="M90" s="20">
        <v>14.4</v>
      </c>
      <c r="N90" s="20">
        <v>131.6898856</v>
      </c>
      <c r="O90" s="62">
        <v>7.5251363199999997</v>
      </c>
      <c r="P90" s="20">
        <v>138.03030000000001</v>
      </c>
      <c r="Q90" s="20">
        <v>104.6876</v>
      </c>
      <c r="R90" s="20">
        <v>111.50021912</v>
      </c>
      <c r="S90" s="20">
        <v>44.176982097186695</v>
      </c>
      <c r="T90" s="21">
        <v>1.72732</v>
      </c>
      <c r="U90" s="20">
        <v>104.5699</v>
      </c>
      <c r="V90" s="6">
        <v>16</v>
      </c>
      <c r="W90" s="20">
        <v>36</v>
      </c>
      <c r="X90" s="20">
        <v>52.4</v>
      </c>
      <c r="Y90" s="22">
        <v>2.9629629629629628</v>
      </c>
      <c r="Z90" s="22">
        <v>2.6147704590818366</v>
      </c>
      <c r="AA90" s="20">
        <v>220.97920531514984</v>
      </c>
      <c r="AB90" s="20">
        <v>216.18781912</v>
      </c>
      <c r="AC90" s="18">
        <v>1.0221630719744217</v>
      </c>
      <c r="AD90" s="18">
        <v>-4.7913861951498404</v>
      </c>
      <c r="AE90" s="56">
        <v>1.2619718892828198</v>
      </c>
    </row>
    <row r="91" spans="1:31" outlineLevel="3" x14ac:dyDescent="0.3">
      <c r="A91" s="47">
        <v>33105</v>
      </c>
      <c r="B91" s="80" t="s">
        <v>66</v>
      </c>
      <c r="C91" s="7" t="s">
        <v>43</v>
      </c>
      <c r="D91" s="7" t="s">
        <v>49</v>
      </c>
      <c r="E91" s="23" t="s">
        <v>47</v>
      </c>
      <c r="F91" s="52">
        <v>17</v>
      </c>
      <c r="G91" s="25">
        <v>165.64</v>
      </c>
      <c r="H91" s="24">
        <v>155</v>
      </c>
      <c r="I91" s="57">
        <v>106.86451612903225</v>
      </c>
      <c r="J91" s="27">
        <v>3.07</v>
      </c>
      <c r="K91" s="26">
        <v>8.2899999999999991</v>
      </c>
      <c r="L91" s="26">
        <v>169.18367346938774</v>
      </c>
      <c r="M91" s="28">
        <v>13.2</v>
      </c>
      <c r="N91" s="28">
        <v>118.90635039999999</v>
      </c>
      <c r="O91" s="63">
        <v>6.7946485942857135</v>
      </c>
      <c r="P91" s="28">
        <v>124.3288</v>
      </c>
      <c r="Q91" s="28">
        <v>100.7882</v>
      </c>
      <c r="R91" s="28">
        <v>116.56787884000001</v>
      </c>
      <c r="S91" s="28">
        <v>44.991304347826087</v>
      </c>
      <c r="T91" s="29">
        <v>1.7591600000000001</v>
      </c>
      <c r="U91" s="28">
        <v>109.89570000000001</v>
      </c>
      <c r="V91" s="24">
        <v>17</v>
      </c>
      <c r="W91" s="28">
        <v>37.200000000000003</v>
      </c>
      <c r="X91" s="28">
        <v>60</v>
      </c>
      <c r="Y91" s="30">
        <v>3.0617283950617287</v>
      </c>
      <c r="Z91" s="30">
        <v>2.9940119760479043</v>
      </c>
      <c r="AA91" s="28">
        <v>220.23071818832346</v>
      </c>
      <c r="AB91" s="28">
        <v>217.35607884000001</v>
      </c>
      <c r="AC91" s="26">
        <v>1.0132254840244865</v>
      </c>
      <c r="AD91" s="26">
        <v>-2.8746393483234556</v>
      </c>
      <c r="AE91" s="57">
        <v>1.2954489820834945</v>
      </c>
    </row>
    <row r="92" spans="1:31" outlineLevel="2" x14ac:dyDescent="0.3">
      <c r="A92" s="48">
        <v>33105</v>
      </c>
      <c r="B92" s="80" t="s">
        <v>66</v>
      </c>
      <c r="C92" s="7"/>
      <c r="D92" s="89" t="s">
        <v>81</v>
      </c>
      <c r="E92" s="81"/>
      <c r="F92" s="50"/>
      <c r="G92" s="17">
        <f>SUBTOTAL(1,G89:G91)</f>
        <v>196.25333333333333</v>
      </c>
      <c r="H92" s="31">
        <f>SUBTOTAL(1,H89:H91)</f>
        <v>167.33333333333334</v>
      </c>
      <c r="I92" s="56">
        <f>SUBTOTAL(1,I89:I91)</f>
        <v>116.92150759103636</v>
      </c>
      <c r="J92" s="19">
        <f>SUBTOTAL(1,J89:J91)</f>
        <v>3.0400000000000005</v>
      </c>
      <c r="K92" s="85">
        <f>SUBTOTAL(1,K89:K91)</f>
        <v>9.06</v>
      </c>
      <c r="L92" s="85">
        <f>SUBTOTAL(1,L89:L91)</f>
        <v>184.89795918367346</v>
      </c>
      <c r="M92" s="86">
        <f>SUBTOTAL(1,M89:M91)</f>
        <v>13.666666666666666</v>
      </c>
      <c r="N92" s="86">
        <f>SUBTOTAL(1,N89:N91)</f>
        <v>123.87506953333333</v>
      </c>
      <c r="O92" s="62">
        <f>SUBTOTAL(1,O89:O91)</f>
        <v>7.0785754019047618</v>
      </c>
      <c r="P92" s="86">
        <f>SUBTOTAL(1,P89:P91)</f>
        <v>129.47286666666668</v>
      </c>
      <c r="Q92" s="86">
        <f>SUBTOTAL(1,Q89:Q91)</f>
        <v>116.00133333333333</v>
      </c>
      <c r="R92" s="86">
        <f>SUBTOTAL(1,R89:R91)</f>
        <v>112.83462159999999</v>
      </c>
      <c r="S92" s="86">
        <f>SUBTOTAL(1,S89:S91)</f>
        <v>42.95549872122762</v>
      </c>
      <c r="T92" s="87">
        <f>SUBTOTAL(1,T89:T91)</f>
        <v>1.6795599999999997</v>
      </c>
      <c r="U92" s="86">
        <f>SUBTOTAL(1,U89:U91)</f>
        <v>105.15533333333333</v>
      </c>
      <c r="V92" s="31">
        <f>SUBTOTAL(1,V89:V91)</f>
        <v>16</v>
      </c>
      <c r="W92" s="86">
        <f>SUBTOTAL(1,W89:W91)</f>
        <v>35.866666666666667</v>
      </c>
      <c r="X92" s="86">
        <f>SUBTOTAL(1,X89:X91)</f>
        <v>56.266666666666673</v>
      </c>
      <c r="Y92" s="88">
        <f>SUBTOTAL(1,Y89:Y91)</f>
        <v>2.9519890260631008</v>
      </c>
      <c r="Z92" s="88">
        <f>SUBTOTAL(1,Z89:Z91)</f>
        <v>2.8077178975382573</v>
      </c>
      <c r="AA92" s="86">
        <f>SUBTOTAL(1,AA89:AA91)</f>
        <v>233.61316482850245</v>
      </c>
      <c r="AB92" s="86">
        <f>SUBTOTAL(1,AB89:AB91)</f>
        <v>228.83595493333334</v>
      </c>
      <c r="AC92" s="85">
        <f>SUBTOTAL(1,AC89:AC91)</f>
        <v>1.0205795234308812</v>
      </c>
      <c r="AD92" s="85">
        <f>SUBTOTAL(1,AD89:AD91)</f>
        <v>-4.777209895169098</v>
      </c>
      <c r="AE92" s="56">
        <f>SUBTOTAL(1,AE89:AE91)</f>
        <v>1.3161207572599736</v>
      </c>
    </row>
    <row r="93" spans="1:31" outlineLevel="1" x14ac:dyDescent="0.3">
      <c r="A93" s="47">
        <v>33105</v>
      </c>
      <c r="B93" s="80" t="s">
        <v>66</v>
      </c>
      <c r="C93" s="7"/>
      <c r="D93" s="89" t="s">
        <v>78</v>
      </c>
      <c r="E93" s="81"/>
      <c r="F93" s="50"/>
      <c r="G93" s="90">
        <f>SUBTOTAL(7,G89:G91)</f>
        <v>27.541491123999393</v>
      </c>
      <c r="H93" s="31">
        <f>SUBTOTAL(7,H89:H91)</f>
        <v>10.692676621563626</v>
      </c>
      <c r="I93" s="91">
        <f>SUBTOTAL(7,I89:I91)</f>
        <v>9.8737292766752347</v>
      </c>
      <c r="J93" s="92">
        <f>SUBTOTAL(7,J89:J91)</f>
        <v>6.0827625302982073E-2</v>
      </c>
      <c r="K93" s="93">
        <f>SUBTOTAL(7,K89:K91)</f>
        <v>1.2480785231707223</v>
      </c>
      <c r="L93" s="93">
        <f>SUBTOTAL(7,L89:L91)</f>
        <v>25.470990268790214</v>
      </c>
      <c r="M93" s="93">
        <f>SUBTOTAL(7,M89:M91)</f>
        <v>0.642910050732864</v>
      </c>
      <c r="N93" s="93">
        <f>SUBTOTAL(7,N89:N91)</f>
        <v>6.8505396771244857</v>
      </c>
      <c r="O93" s="91">
        <f>SUBTOTAL(7,O89:O91)</f>
        <v>0.39145941012139912</v>
      </c>
      <c r="P93" s="93">
        <f>SUBTOTAL(7,P89:P91)</f>
        <v>7.46130548653072</v>
      </c>
      <c r="Q93" s="93">
        <f>SUBTOTAL(7,Q89:Q91)</f>
        <v>23.055526917711781</v>
      </c>
      <c r="R93" s="93">
        <f>SUBTOTAL(7,R89:R91)</f>
        <v>3.2766098149014691</v>
      </c>
      <c r="S93" s="93">
        <f>SUBTOTAL(7,S89:S91)</f>
        <v>2.8501278772378495</v>
      </c>
      <c r="T93" s="93">
        <f>SUBTOTAL(7,T89:T91)</f>
        <v>0.11144</v>
      </c>
      <c r="U93" s="93">
        <f>SUBTOTAL(7,U89:U91)</f>
        <v>4.476453916140918</v>
      </c>
      <c r="V93" s="31">
        <f>SUBTOTAL(7,V89:V91)</f>
        <v>1</v>
      </c>
      <c r="W93" s="93">
        <f>SUBTOTAL(7,W89:W91)</f>
        <v>1.4047538337137004</v>
      </c>
      <c r="X93" s="93">
        <f>SUBTOTAL(7,X89:X91)</f>
        <v>3.8017539811688681</v>
      </c>
      <c r="Y93" s="93">
        <f>SUBTOTAL(7,Y89:Y91)</f>
        <v>0.11561759948260905</v>
      </c>
      <c r="Z93" s="93">
        <f>SUBTOTAL(7,Z89:Z91)</f>
        <v>0.18970828249345636</v>
      </c>
      <c r="AA93" s="93">
        <f>SUBTOTAL(7,AA89:AA91)</f>
        <v>22.533976571033634</v>
      </c>
      <c r="AB93" s="93">
        <f>SUBTOTAL(7,AB89:AB91)</f>
        <v>20.903634292139973</v>
      </c>
      <c r="AC93" s="93">
        <f>SUBTOTAL(7,AC89:AC91)</f>
        <v>6.704031860710339E-3</v>
      </c>
      <c r="AD93" s="93">
        <f>SUBTOTAL(7,AD89:AD91)</f>
        <v>1.8955221556075434</v>
      </c>
      <c r="AE93" s="91">
        <f>SUBTOTAL(7,AE89:AE91)</f>
        <v>6.6923653643825382E-2</v>
      </c>
    </row>
    <row r="94" spans="1:31" outlineLevel="3" x14ac:dyDescent="0.3">
      <c r="A94" s="47">
        <v>33112</v>
      </c>
      <c r="B94" s="80" t="s">
        <v>67</v>
      </c>
      <c r="C94" s="7" t="s">
        <v>43</v>
      </c>
      <c r="D94" s="7" t="s">
        <v>44</v>
      </c>
      <c r="E94" s="7" t="s">
        <v>45</v>
      </c>
      <c r="F94" s="50">
        <v>9</v>
      </c>
      <c r="G94" s="17">
        <v>235.28</v>
      </c>
      <c r="H94" s="6">
        <v>188</v>
      </c>
      <c r="I94" s="56">
        <v>125.14893617021276</v>
      </c>
      <c r="J94" s="19">
        <v>3.02</v>
      </c>
      <c r="K94" s="18">
        <v>7.53</v>
      </c>
      <c r="L94" s="18">
        <v>153.67346938775512</v>
      </c>
      <c r="M94" s="20">
        <v>16.5</v>
      </c>
      <c r="N94" s="20">
        <v>154.33712874999998</v>
      </c>
      <c r="O94" s="62">
        <v>8.8192644999999992</v>
      </c>
      <c r="P94" s="20">
        <v>160.767</v>
      </c>
      <c r="Q94" s="20">
        <v>96.552099999999996</v>
      </c>
      <c r="R94" s="20">
        <v>88.296749019999993</v>
      </c>
      <c r="S94" s="20">
        <v>22.801023017902814</v>
      </c>
      <c r="T94" s="21">
        <v>0.89152000000000009</v>
      </c>
      <c r="U94" s="20">
        <v>81.905000000000001</v>
      </c>
      <c r="V94" s="6">
        <v>9</v>
      </c>
      <c r="W94" s="20">
        <v>34</v>
      </c>
      <c r="X94" s="20">
        <v>44.4</v>
      </c>
      <c r="Y94" s="22">
        <v>2.7983539094650203</v>
      </c>
      <c r="Z94" s="22">
        <v>2.2155688622754495</v>
      </c>
      <c r="AA94" s="20">
        <v>181.48841517739842</v>
      </c>
      <c r="AB94" s="20">
        <v>184.84884901999999</v>
      </c>
      <c r="AC94" s="18">
        <v>0.98182063961762633</v>
      </c>
      <c r="AD94" s="18">
        <v>3.3604338426015659</v>
      </c>
      <c r="AE94" s="56">
        <v>1.9362453375594488</v>
      </c>
    </row>
    <row r="95" spans="1:31" outlineLevel="3" x14ac:dyDescent="0.3">
      <c r="A95" s="47">
        <v>33112</v>
      </c>
      <c r="B95" s="80" t="s">
        <v>67</v>
      </c>
      <c r="C95" s="7" t="s">
        <v>43</v>
      </c>
      <c r="D95" s="7" t="s">
        <v>44</v>
      </c>
      <c r="E95" s="7" t="s">
        <v>46</v>
      </c>
      <c r="F95" s="50">
        <v>10</v>
      </c>
      <c r="G95" s="17">
        <v>238.57</v>
      </c>
      <c r="H95" s="6">
        <v>187</v>
      </c>
      <c r="I95" s="56">
        <v>127.57754010695186</v>
      </c>
      <c r="J95" s="19">
        <v>2.99</v>
      </c>
      <c r="K95" s="18">
        <v>8.08</v>
      </c>
      <c r="L95" s="18">
        <v>164.89795918367346</v>
      </c>
      <c r="M95" s="20">
        <v>15.6</v>
      </c>
      <c r="N95" s="20">
        <v>144.58814559999996</v>
      </c>
      <c r="O95" s="62">
        <v>8.2621797485714268</v>
      </c>
      <c r="P95" s="20">
        <v>151.56180000000001</v>
      </c>
      <c r="Q95" s="20">
        <v>106.6585</v>
      </c>
      <c r="R95" s="20">
        <v>93.295092699999998</v>
      </c>
      <c r="S95" s="20">
        <v>23.818925831202044</v>
      </c>
      <c r="T95" s="21">
        <v>0.93131999999999993</v>
      </c>
      <c r="U95" s="20">
        <v>86.234300000000005</v>
      </c>
      <c r="V95" s="6">
        <v>10</v>
      </c>
      <c r="W95" s="20">
        <v>33.200000000000003</v>
      </c>
      <c r="X95" s="20">
        <v>46.4</v>
      </c>
      <c r="Y95" s="22">
        <v>2.7325102880658432</v>
      </c>
      <c r="Z95" s="22">
        <v>2.3153692614770458</v>
      </c>
      <c r="AA95" s="20">
        <v>193.76476456441841</v>
      </c>
      <c r="AB95" s="20">
        <v>199.9535927</v>
      </c>
      <c r="AC95" s="18">
        <v>0.96904867748554546</v>
      </c>
      <c r="AD95" s="18">
        <v>6.1888281355815877</v>
      </c>
      <c r="AE95" s="56">
        <v>1.9584235947740842</v>
      </c>
    </row>
    <row r="96" spans="1:31" outlineLevel="3" x14ac:dyDescent="0.3">
      <c r="A96" s="47">
        <v>33112</v>
      </c>
      <c r="B96" s="80" t="s">
        <v>67</v>
      </c>
      <c r="C96" s="7" t="s">
        <v>43</v>
      </c>
      <c r="D96" s="7" t="s">
        <v>44</v>
      </c>
      <c r="E96" s="7" t="s">
        <v>47</v>
      </c>
      <c r="F96" s="50">
        <v>11</v>
      </c>
      <c r="G96" s="17">
        <v>235.25</v>
      </c>
      <c r="H96" s="6">
        <v>187</v>
      </c>
      <c r="I96" s="56">
        <v>125.80213903743316</v>
      </c>
      <c r="J96" s="19">
        <v>3.07</v>
      </c>
      <c r="K96" s="18">
        <v>6.77</v>
      </c>
      <c r="L96" s="18">
        <v>138.16326530612244</v>
      </c>
      <c r="M96" s="20">
        <v>16.8</v>
      </c>
      <c r="N96" s="20">
        <v>157.60113039999999</v>
      </c>
      <c r="O96" s="62">
        <v>9.0057788799999994</v>
      </c>
      <c r="P96" s="20">
        <v>164.77</v>
      </c>
      <c r="Q96" s="20">
        <v>73.870199999999997</v>
      </c>
      <c r="R96" s="20">
        <v>98.99780724</v>
      </c>
      <c r="S96" s="20">
        <v>28.297698209718664</v>
      </c>
      <c r="T96" s="21">
        <v>1.1064399999999999</v>
      </c>
      <c r="U96" s="20">
        <v>94.107600000000005</v>
      </c>
      <c r="V96" s="6">
        <v>11</v>
      </c>
      <c r="W96" s="20">
        <v>36.799999999999997</v>
      </c>
      <c r="X96" s="20">
        <v>47.6</v>
      </c>
      <c r="Y96" s="22">
        <v>3.0288065843621403</v>
      </c>
      <c r="Z96" s="22">
        <v>2.3752495009980037</v>
      </c>
      <c r="AA96" s="20">
        <v>171.86501960120125</v>
      </c>
      <c r="AB96" s="20">
        <v>172.86800724</v>
      </c>
      <c r="AC96" s="18">
        <v>0.99419795684110446</v>
      </c>
      <c r="AD96" s="18">
        <v>1.0029876387987429</v>
      </c>
      <c r="AE96" s="56">
        <v>1.7492201398557539</v>
      </c>
    </row>
    <row r="97" spans="1:31" outlineLevel="2" x14ac:dyDescent="0.3">
      <c r="A97" s="47">
        <v>33112</v>
      </c>
      <c r="B97" s="80" t="s">
        <v>67</v>
      </c>
      <c r="C97" s="7"/>
      <c r="D97" s="89" t="s">
        <v>79</v>
      </c>
      <c r="E97" s="7"/>
      <c r="F97" s="50"/>
      <c r="G97" s="17">
        <f>SUBTOTAL(1,G94:G96)</f>
        <v>236.36666666666667</v>
      </c>
      <c r="H97" s="6">
        <f>SUBTOTAL(1,H94:H96)</f>
        <v>187.33333333333334</v>
      </c>
      <c r="I97" s="56">
        <f>SUBTOTAL(1,I94:I96)</f>
        <v>126.17620510486593</v>
      </c>
      <c r="J97" s="19">
        <f>SUBTOTAL(1,J94:J96)</f>
        <v>3.0266666666666668</v>
      </c>
      <c r="K97" s="18">
        <f>SUBTOTAL(1,K94:K96)</f>
        <v>7.46</v>
      </c>
      <c r="L97" s="18">
        <f>SUBTOTAL(1,L94:L96)</f>
        <v>152.24489795918365</v>
      </c>
      <c r="M97" s="20">
        <f>SUBTOTAL(1,M94:M96)</f>
        <v>16.3</v>
      </c>
      <c r="N97" s="20">
        <f>SUBTOTAL(1,N94:N96)</f>
        <v>152.17546824999997</v>
      </c>
      <c r="O97" s="62">
        <f>SUBTOTAL(1,O94:O96)</f>
        <v>8.6957410428571418</v>
      </c>
      <c r="P97" s="20">
        <f>SUBTOTAL(1,P94:P96)</f>
        <v>159.03293333333332</v>
      </c>
      <c r="Q97" s="20">
        <f>SUBTOTAL(1,Q94:Q96)</f>
        <v>92.360266666666675</v>
      </c>
      <c r="R97" s="20">
        <f>SUBTOTAL(1,R94:R96)</f>
        <v>93.529882986666664</v>
      </c>
      <c r="S97" s="20">
        <f>SUBTOTAL(1,S94:S96)</f>
        <v>24.97254901960784</v>
      </c>
      <c r="T97" s="21">
        <f>SUBTOTAL(1,T94:T96)</f>
        <v>0.97642666666666666</v>
      </c>
      <c r="U97" s="20">
        <f>SUBTOTAL(1,U94:U96)</f>
        <v>87.415633333333332</v>
      </c>
      <c r="V97" s="6">
        <f>SUBTOTAL(1,V94:V96)</f>
        <v>10</v>
      </c>
      <c r="W97" s="20">
        <f>SUBTOTAL(1,W94:W96)</f>
        <v>34.666666666666664</v>
      </c>
      <c r="X97" s="20">
        <f>SUBTOTAL(1,X94:X96)</f>
        <v>46.133333333333333</v>
      </c>
      <c r="Y97" s="22">
        <f>SUBTOTAL(1,Y94:Y96)</f>
        <v>2.8532235939643349</v>
      </c>
      <c r="Z97" s="22">
        <f>SUBTOTAL(1,Z94:Z96)</f>
        <v>2.3020625415834997</v>
      </c>
      <c r="AA97" s="20">
        <f>SUBTOTAL(1,AA94:AA96)</f>
        <v>182.37273311433935</v>
      </c>
      <c r="AB97" s="20">
        <f>SUBTOTAL(1,AB94:AB96)</f>
        <v>185.89014965333331</v>
      </c>
      <c r="AC97" s="18">
        <f>SUBTOTAL(1,AC94:AC96)</f>
        <v>0.98168909131475868</v>
      </c>
      <c r="AD97" s="18">
        <f>SUBTOTAL(1,AD94:AD96)</f>
        <v>3.5174165389939653</v>
      </c>
      <c r="AE97" s="56">
        <f>SUBTOTAL(1,AE94:AE96)</f>
        <v>1.881296357396429</v>
      </c>
    </row>
    <row r="98" spans="1:31" outlineLevel="1" x14ac:dyDescent="0.3">
      <c r="A98" s="47">
        <v>33112</v>
      </c>
      <c r="B98" s="80" t="s">
        <v>67</v>
      </c>
      <c r="C98" s="7"/>
      <c r="D98" s="89" t="s">
        <v>76</v>
      </c>
      <c r="E98" s="7"/>
      <c r="F98" s="50"/>
      <c r="G98" s="90">
        <f>SUBTOTAL(7,G94:G96)</f>
        <v>1.9082015966174322</v>
      </c>
      <c r="H98" s="6">
        <f>SUBTOTAL(7,H94:H96)</f>
        <v>0.57735026918962584</v>
      </c>
      <c r="I98" s="91">
        <f>SUBTOTAL(7,I94:I96)</f>
        <v>1.2567709964387372</v>
      </c>
      <c r="J98" s="92">
        <f>SUBTOTAL(7,J94:J96)</f>
        <v>4.0414518843273621E-2</v>
      </c>
      <c r="K98" s="94">
        <f>SUBTOTAL(7,K94:K96)</f>
        <v>0.65779936150774754</v>
      </c>
      <c r="L98" s="94">
        <f>SUBTOTAL(7,L94:L96)</f>
        <v>13.424476765464233</v>
      </c>
      <c r="M98" s="94">
        <f>SUBTOTAL(7,M94:M96)</f>
        <v>0.62449979983984027</v>
      </c>
      <c r="N98" s="94">
        <f>SUBTOTAL(7,N94:N96)</f>
        <v>6.7704523806909034</v>
      </c>
      <c r="O98" s="91">
        <f>SUBTOTAL(7,O94:O96)</f>
        <v>0.38688299318233726</v>
      </c>
      <c r="P98" s="94">
        <f>SUBTOTAL(7,P94:P96)</f>
        <v>6.7726934976664452</v>
      </c>
      <c r="Q98" s="94">
        <f>SUBTOTAL(7,Q94:Q96)</f>
        <v>16.791270179570461</v>
      </c>
      <c r="R98" s="94">
        <f>SUBTOTAL(7,R94:R96)</f>
        <v>5.3543913394514036</v>
      </c>
      <c r="S98" s="94">
        <f>SUBTOTAL(7,S94:S96)</f>
        <v>2.9242938270121934</v>
      </c>
      <c r="T98" s="94">
        <f>SUBTOTAL(7,T94:T96)</f>
        <v>0.11433988863617679</v>
      </c>
      <c r="U98" s="94">
        <f>SUBTOTAL(7,U94:U96)</f>
        <v>6.1864790489690789</v>
      </c>
      <c r="V98" s="6">
        <f>SUBTOTAL(7,V94:V96)</f>
        <v>1</v>
      </c>
      <c r="W98" s="94">
        <f>SUBTOTAL(7,W94:W96)</f>
        <v>1.8903262505010405</v>
      </c>
      <c r="X98" s="94">
        <f>SUBTOTAL(7,X94:X96)</f>
        <v>1.6165807537309536</v>
      </c>
      <c r="Y98" s="94">
        <f>SUBTOTAL(7,Y94:Y96)</f>
        <v>0.15558240744864602</v>
      </c>
      <c r="Z98" s="94">
        <f>SUBTOTAL(7,Z94:Z96)</f>
        <v>8.0667702281983306E-2</v>
      </c>
      <c r="AA98" s="94">
        <f>SUBTOTAL(7,AA94:AA96)</f>
        <v>10.97662156693422</v>
      </c>
      <c r="AB98" s="94">
        <f>SUBTOTAL(7,AB94:AB96)</f>
        <v>13.57278398798405</v>
      </c>
      <c r="AC98" s="94">
        <f>SUBTOTAL(7,AC94:AC96)</f>
        <v>1.2575155734342893E-2</v>
      </c>
      <c r="AD98" s="94">
        <f>SUBTOTAL(7,AD94:AD96)</f>
        <v>2.5964818677863333</v>
      </c>
      <c r="AE98" s="91">
        <f>SUBTOTAL(7,AE94:AE96)</f>
        <v>0.11491764095715869</v>
      </c>
    </row>
    <row r="99" spans="1:31" outlineLevel="3" x14ac:dyDescent="0.3">
      <c r="A99" s="47">
        <v>33112</v>
      </c>
      <c r="B99" s="80" t="s">
        <v>67</v>
      </c>
      <c r="C99" s="7" t="s">
        <v>43</v>
      </c>
      <c r="D99" s="7" t="s">
        <v>48</v>
      </c>
      <c r="E99" s="7" t="s">
        <v>45</v>
      </c>
      <c r="F99" s="50">
        <v>12</v>
      </c>
      <c r="G99" s="17">
        <v>239.7</v>
      </c>
      <c r="H99" s="6">
        <v>177</v>
      </c>
      <c r="I99" s="56">
        <v>135.42372881355931</v>
      </c>
      <c r="J99" s="19">
        <v>3.14</v>
      </c>
      <c r="K99" s="18">
        <v>7.02</v>
      </c>
      <c r="L99" s="18">
        <v>143.26530612244898</v>
      </c>
      <c r="M99" s="20">
        <v>16.100000000000001</v>
      </c>
      <c r="N99" s="20">
        <v>149.99628035000001</v>
      </c>
      <c r="O99" s="62">
        <v>8.5712160199999996</v>
      </c>
      <c r="P99" s="20">
        <v>156.054</v>
      </c>
      <c r="Q99" s="20">
        <v>82.570899999999995</v>
      </c>
      <c r="R99" s="20">
        <v>105.27649357999999</v>
      </c>
      <c r="S99" s="20">
        <v>39.291048593350382</v>
      </c>
      <c r="T99" s="21">
        <v>1.5362799999999999</v>
      </c>
      <c r="U99" s="20">
        <v>99.810299999999998</v>
      </c>
      <c r="V99" s="6">
        <v>12</v>
      </c>
      <c r="W99" s="20">
        <v>37.6</v>
      </c>
      <c r="X99" s="20">
        <v>51.2</v>
      </c>
      <c r="Y99" s="22">
        <v>3.0946502057613161</v>
      </c>
      <c r="Z99" s="22">
        <v>2.5548902195608787</v>
      </c>
      <c r="AA99" s="20">
        <v>188.20589514112157</v>
      </c>
      <c r="AB99" s="20">
        <v>187.84739357999999</v>
      </c>
      <c r="AC99" s="18">
        <v>1.0019084723737139</v>
      </c>
      <c r="AD99" s="18">
        <v>-0.35850156112158515</v>
      </c>
      <c r="AE99" s="56">
        <v>1.3397007378140704</v>
      </c>
    </row>
    <row r="100" spans="1:31" outlineLevel="3" x14ac:dyDescent="0.3">
      <c r="A100" s="47">
        <v>33112</v>
      </c>
      <c r="B100" s="80" t="s">
        <v>67</v>
      </c>
      <c r="C100" s="7" t="s">
        <v>43</v>
      </c>
      <c r="D100" s="7" t="s">
        <v>48</v>
      </c>
      <c r="E100" s="7" t="s">
        <v>46</v>
      </c>
      <c r="F100" s="50">
        <v>13</v>
      </c>
      <c r="G100" s="17">
        <v>227.17</v>
      </c>
      <c r="H100" s="6">
        <v>185</v>
      </c>
      <c r="I100" s="56">
        <v>122.79459459459459</v>
      </c>
      <c r="J100" s="19">
        <v>3.19</v>
      </c>
      <c r="K100" s="18">
        <v>6.4</v>
      </c>
      <c r="L100" s="18">
        <v>130.61224489795919</v>
      </c>
      <c r="M100" s="20">
        <v>15.6</v>
      </c>
      <c r="N100" s="20">
        <v>144.58814559999996</v>
      </c>
      <c r="O100" s="62">
        <v>8.2621797485714268</v>
      </c>
      <c r="P100" s="20">
        <v>147.9049</v>
      </c>
      <c r="Q100" s="20">
        <v>70.659899999999993</v>
      </c>
      <c r="R100" s="20">
        <v>108.58108538</v>
      </c>
      <c r="S100" s="20">
        <v>42.548337595907924</v>
      </c>
      <c r="T100" s="21">
        <v>1.6636399999999998</v>
      </c>
      <c r="U100" s="20">
        <v>103.9034</v>
      </c>
      <c r="V100" s="6">
        <v>13</v>
      </c>
      <c r="W100" s="20">
        <v>42.4</v>
      </c>
      <c r="X100" s="20">
        <v>56.8</v>
      </c>
      <c r="Y100" s="22">
        <v>3.4897119341563791</v>
      </c>
      <c r="Z100" s="22">
        <v>2.8343313373253491</v>
      </c>
      <c r="AA100" s="20">
        <v>179.48462576534885</v>
      </c>
      <c r="AB100" s="20">
        <v>179.24098537999998</v>
      </c>
      <c r="AC100" s="18">
        <v>1.0013592894774168</v>
      </c>
      <c r="AD100" s="18">
        <v>-0.24364038534886845</v>
      </c>
      <c r="AE100" s="56">
        <v>1.2759732990184176</v>
      </c>
    </row>
    <row r="101" spans="1:31" outlineLevel="3" x14ac:dyDescent="0.3">
      <c r="A101" s="47">
        <v>33112</v>
      </c>
      <c r="B101" s="80" t="s">
        <v>67</v>
      </c>
      <c r="C101" s="7" t="s">
        <v>43</v>
      </c>
      <c r="D101" s="7" t="s">
        <v>48</v>
      </c>
      <c r="E101" s="7" t="s">
        <v>47</v>
      </c>
      <c r="F101" s="50">
        <v>14</v>
      </c>
      <c r="G101" s="17">
        <v>237.76</v>
      </c>
      <c r="H101" s="6">
        <v>188</v>
      </c>
      <c r="I101" s="56">
        <v>126.46808510638297</v>
      </c>
      <c r="J101" s="19">
        <v>3.15</v>
      </c>
      <c r="K101" s="18">
        <v>6.91</v>
      </c>
      <c r="L101" s="18">
        <v>141.0204081632653</v>
      </c>
      <c r="M101" s="20">
        <v>15.4</v>
      </c>
      <c r="N101" s="20">
        <v>142.43046859999998</v>
      </c>
      <c r="O101" s="62">
        <v>8.1388839199999996</v>
      </c>
      <c r="P101" s="20">
        <v>146.9016</v>
      </c>
      <c r="Q101" s="20">
        <v>78.3917</v>
      </c>
      <c r="R101" s="20">
        <v>106.58703054</v>
      </c>
      <c r="S101" s="20">
        <v>39.087468030690538</v>
      </c>
      <c r="T101" s="21">
        <v>1.5283199999999999</v>
      </c>
      <c r="U101" s="20">
        <v>101.39749999999999</v>
      </c>
      <c r="V101" s="6">
        <v>14</v>
      </c>
      <c r="W101" s="20">
        <v>37.200000000000003</v>
      </c>
      <c r="X101" s="20">
        <v>52.4</v>
      </c>
      <c r="Y101" s="22">
        <v>3.0617283950617287</v>
      </c>
      <c r="Z101" s="22">
        <v>2.6147704590818366</v>
      </c>
      <c r="AA101" s="20">
        <v>185.78437504809938</v>
      </c>
      <c r="AB101" s="20">
        <v>184.97873054000002</v>
      </c>
      <c r="AC101" s="18">
        <v>1.0043553359121207</v>
      </c>
      <c r="AD101" s="18">
        <v>-0.80564450809936261</v>
      </c>
      <c r="AE101" s="56">
        <v>1.3634425035705873</v>
      </c>
    </row>
    <row r="102" spans="1:31" outlineLevel="2" x14ac:dyDescent="0.3">
      <c r="A102" s="47">
        <v>33112</v>
      </c>
      <c r="B102" s="80" t="s">
        <v>67</v>
      </c>
      <c r="C102" s="7"/>
      <c r="D102" s="89" t="s">
        <v>80</v>
      </c>
      <c r="E102" s="7"/>
      <c r="F102" s="50"/>
      <c r="G102" s="17">
        <f>SUBTOTAL(1,G99:G101)</f>
        <v>234.87666666666667</v>
      </c>
      <c r="H102" s="6">
        <f>SUBTOTAL(1,H99:H101)</f>
        <v>183.33333333333334</v>
      </c>
      <c r="I102" s="56">
        <f>SUBTOTAL(1,I99:I101)</f>
        <v>128.22880283817895</v>
      </c>
      <c r="J102" s="19">
        <f>SUBTOTAL(1,J99:J101)</f>
        <v>3.16</v>
      </c>
      <c r="K102" s="18">
        <f>SUBTOTAL(1,K99:K101)</f>
        <v>6.7766666666666664</v>
      </c>
      <c r="L102" s="18">
        <f>SUBTOTAL(1,L99:L101)</f>
        <v>138.29931972789117</v>
      </c>
      <c r="M102" s="20">
        <f>SUBTOTAL(1,M99:M101)</f>
        <v>15.700000000000001</v>
      </c>
      <c r="N102" s="20">
        <f>SUBTOTAL(1,N99:N101)</f>
        <v>145.67163151666665</v>
      </c>
      <c r="O102" s="62">
        <f>SUBTOTAL(1,O99:O101)</f>
        <v>8.3240932295238093</v>
      </c>
      <c r="P102" s="20">
        <f>SUBTOTAL(1,P99:P101)</f>
        <v>150.28683333333333</v>
      </c>
      <c r="Q102" s="20">
        <f>SUBTOTAL(1,Q99:Q101)</f>
        <v>77.207499999999996</v>
      </c>
      <c r="R102" s="20">
        <f>SUBTOTAL(1,R99:R101)</f>
        <v>106.81486983333333</v>
      </c>
      <c r="S102" s="20">
        <f>SUBTOTAL(1,S99:S101)</f>
        <v>40.308951406649612</v>
      </c>
      <c r="T102" s="21">
        <f>SUBTOTAL(1,T99:T101)</f>
        <v>1.5760799999999999</v>
      </c>
      <c r="U102" s="20">
        <f>SUBTOTAL(1,U99:U101)</f>
        <v>101.70373333333333</v>
      </c>
      <c r="V102" s="6">
        <f>SUBTOTAL(1,V99:V101)</f>
        <v>13</v>
      </c>
      <c r="W102" s="20">
        <f>SUBTOTAL(1,W99:W101)</f>
        <v>39.06666666666667</v>
      </c>
      <c r="X102" s="20">
        <f>SUBTOTAL(1,X99:X101)</f>
        <v>53.466666666666669</v>
      </c>
      <c r="Y102" s="22">
        <f>SUBTOTAL(1,Y99:Y101)</f>
        <v>3.2153635116598083</v>
      </c>
      <c r="Z102" s="22">
        <f>SUBTOTAL(1,Z99:Z101)</f>
        <v>2.6679973386560216</v>
      </c>
      <c r="AA102" s="20">
        <f>SUBTOTAL(1,AA99:AA101)</f>
        <v>184.49163198485658</v>
      </c>
      <c r="AB102" s="20">
        <f>SUBTOTAL(1,AB99:AB101)</f>
        <v>184.02236983333333</v>
      </c>
      <c r="AC102" s="18">
        <f>SUBTOTAL(1,AC99:AC101)</f>
        <v>1.0025410325877504</v>
      </c>
      <c r="AD102" s="18">
        <f>SUBTOTAL(1,AD99:AD101)</f>
        <v>-0.46926215152327205</v>
      </c>
      <c r="AE102" s="56">
        <f>SUBTOTAL(1,AE99:AE101)</f>
        <v>1.3263721801343584</v>
      </c>
    </row>
    <row r="103" spans="1:31" outlineLevel="1" x14ac:dyDescent="0.3">
      <c r="A103" s="47">
        <v>33112</v>
      </c>
      <c r="B103" s="80" t="s">
        <v>67</v>
      </c>
      <c r="C103" s="7"/>
      <c r="D103" s="89" t="s">
        <v>77</v>
      </c>
      <c r="E103" s="7"/>
      <c r="F103" s="50"/>
      <c r="G103" s="90">
        <f>SUBTOTAL(7,G99:G101)</f>
        <v>6.744288942011111</v>
      </c>
      <c r="H103" s="6">
        <f>SUBTOTAL(7,H99:H101)</f>
        <v>5.6862407030773268</v>
      </c>
      <c r="I103" s="91">
        <f>SUBTOTAL(7,I99:I101)</f>
        <v>6.4960644222830801</v>
      </c>
      <c r="J103" s="92">
        <f>SUBTOTAL(7,J99:J101)</f>
        <v>2.6457513110645845E-2</v>
      </c>
      <c r="K103" s="94">
        <f>SUBTOTAL(7,K99:K101)</f>
        <v>0.33080709383768225</v>
      </c>
      <c r="L103" s="94">
        <f>SUBTOTAL(7,L99:L101)</f>
        <v>6.7511651803608661</v>
      </c>
      <c r="M103" s="94">
        <f>SUBTOTAL(7,M99:M101)</f>
        <v>0.36055512754639962</v>
      </c>
      <c r="N103" s="94">
        <f>SUBTOTAL(7,N99:N101)</f>
        <v>3.8975419379168832</v>
      </c>
      <c r="O103" s="91">
        <f>SUBTOTAL(7,O99:O101)</f>
        <v>0.22271668216667834</v>
      </c>
      <c r="P103" s="94">
        <f>SUBTOTAL(7,P99:P101)</f>
        <v>5.019642541390108</v>
      </c>
      <c r="Q103" s="94">
        <f>SUBTOTAL(7,Q99:Q101)</f>
        <v>6.0431554241141283</v>
      </c>
      <c r="R103" s="94">
        <f>SUBTOTAL(7,R99:R101)</f>
        <v>1.664035696385989</v>
      </c>
      <c r="S103" s="94">
        <f>SUBTOTAL(7,S99:S101)</f>
        <v>1.9420347936774625</v>
      </c>
      <c r="T103" s="94">
        <f>SUBTOTAL(7,T99:T101)</f>
        <v>7.5933560432788816E-2</v>
      </c>
      <c r="U103" s="94">
        <f>SUBTOTAL(7,U99:U101)</f>
        <v>2.0636620467831812</v>
      </c>
      <c r="V103" s="6">
        <f>SUBTOTAL(7,V99:V101)</f>
        <v>1</v>
      </c>
      <c r="W103" s="94">
        <f>SUBTOTAL(7,W99:W101)</f>
        <v>2.8936712552280919</v>
      </c>
      <c r="X103" s="94">
        <f>SUBTOTAL(7,X99:X101)</f>
        <v>2.9484459183327951</v>
      </c>
      <c r="Y103" s="94">
        <f>SUBTOTAL(7,Y99:Y101)</f>
        <v>0.23816224322865015</v>
      </c>
      <c r="Z103" s="94">
        <f>SUBTOTAL(7,Z99:Z101)</f>
        <v>0.14712803983696562</v>
      </c>
      <c r="AA103" s="94">
        <f>SUBTOTAL(7,AA99:AA101)</f>
        <v>4.5020576797581695</v>
      </c>
      <c r="AB103" s="94">
        <f>SUBTOTAL(7,AB99:AB101)</f>
        <v>4.382183802306657</v>
      </c>
      <c r="AC103" s="94">
        <f>SUBTOTAL(7,AC99:AC101)</f>
        <v>1.5950463560699057E-3</v>
      </c>
      <c r="AD103" s="94">
        <f>SUBTOTAL(7,AD99:AD101)</f>
        <v>0.29692270001927407</v>
      </c>
      <c r="AE103" s="91">
        <f>SUBTOTAL(7,AE99:AE101)</f>
        <v>4.5232214997868295E-2</v>
      </c>
    </row>
    <row r="104" spans="1:31" outlineLevel="3" x14ac:dyDescent="0.3">
      <c r="A104" s="47">
        <v>33112</v>
      </c>
      <c r="B104" s="80" t="s">
        <v>67</v>
      </c>
      <c r="C104" s="7" t="s">
        <v>43</v>
      </c>
      <c r="D104" s="7" t="s">
        <v>49</v>
      </c>
      <c r="E104" s="7" t="s">
        <v>45</v>
      </c>
      <c r="F104" s="50">
        <v>15</v>
      </c>
      <c r="G104" s="17">
        <v>244.46</v>
      </c>
      <c r="H104" s="6">
        <v>181</v>
      </c>
      <c r="I104" s="56">
        <v>135.06077348066299</v>
      </c>
      <c r="J104" s="19">
        <v>3.09</v>
      </c>
      <c r="K104" s="18">
        <v>7.93</v>
      </c>
      <c r="L104" s="18">
        <v>161.83673469387756</v>
      </c>
      <c r="M104" s="20">
        <v>15</v>
      </c>
      <c r="N104" s="20">
        <v>138.124675</v>
      </c>
      <c r="O104" s="62">
        <v>7.8928385714285714</v>
      </c>
      <c r="P104" s="20">
        <v>143.97380000000001</v>
      </c>
      <c r="Q104" s="20">
        <v>105.22280000000001</v>
      </c>
      <c r="R104" s="20">
        <v>105.53384936</v>
      </c>
      <c r="S104" s="20">
        <v>42.141176470588228</v>
      </c>
      <c r="T104" s="21">
        <v>1.6477199999999999</v>
      </c>
      <c r="U104" s="20">
        <v>98.568100000000001</v>
      </c>
      <c r="V104" s="6">
        <v>15</v>
      </c>
      <c r="W104" s="20">
        <v>37.200000000000003</v>
      </c>
      <c r="X104" s="20">
        <v>51.2</v>
      </c>
      <c r="Y104" s="22">
        <v>3.0617283950617287</v>
      </c>
      <c r="Z104" s="22">
        <v>2.5548902195608787</v>
      </c>
      <c r="AA104" s="20">
        <v>209.59452977908839</v>
      </c>
      <c r="AB104" s="20">
        <v>210.75664936000001</v>
      </c>
      <c r="AC104" s="18">
        <v>0.99448596481088214</v>
      </c>
      <c r="AD104" s="18">
        <v>1.1621195809116216</v>
      </c>
      <c r="AE104" s="56">
        <v>1.252146453880514</v>
      </c>
    </row>
    <row r="105" spans="1:31" outlineLevel="3" x14ac:dyDescent="0.3">
      <c r="A105" s="47">
        <v>33112</v>
      </c>
      <c r="B105" s="80" t="s">
        <v>67</v>
      </c>
      <c r="C105" s="7" t="s">
        <v>43</v>
      </c>
      <c r="D105" s="7" t="s">
        <v>49</v>
      </c>
      <c r="E105" s="7" t="s">
        <v>46</v>
      </c>
      <c r="F105" s="50">
        <v>16</v>
      </c>
      <c r="G105" s="17">
        <v>232.57</v>
      </c>
      <c r="H105" s="6">
        <v>175</v>
      </c>
      <c r="I105" s="56">
        <v>132.89714285714285</v>
      </c>
      <c r="J105" s="19">
        <v>3.23</v>
      </c>
      <c r="K105" s="18">
        <v>6.08</v>
      </c>
      <c r="L105" s="18">
        <v>124.08163265306123</v>
      </c>
      <c r="M105" s="20">
        <v>16.2</v>
      </c>
      <c r="N105" s="20">
        <v>151.08029739999998</v>
      </c>
      <c r="O105" s="62">
        <v>8.6331598514285695</v>
      </c>
      <c r="P105" s="20">
        <v>155.76130000000001</v>
      </c>
      <c r="Q105" s="20">
        <v>71.104299999999995</v>
      </c>
      <c r="R105" s="20">
        <v>108.22310466</v>
      </c>
      <c r="S105" s="20">
        <v>49.062915601023022</v>
      </c>
      <c r="T105" s="21">
        <v>1.9183600000000001</v>
      </c>
      <c r="U105" s="20">
        <v>103.51600000000001</v>
      </c>
      <c r="V105" s="6">
        <v>16</v>
      </c>
      <c r="W105" s="20">
        <v>39.6</v>
      </c>
      <c r="X105" s="20">
        <v>52.8</v>
      </c>
      <c r="Y105" s="22">
        <v>3.2592592592592591</v>
      </c>
      <c r="Z105" s="22">
        <v>2.634730538922156</v>
      </c>
      <c r="AA105" s="20">
        <v>179.03853805226569</v>
      </c>
      <c r="AB105" s="20">
        <v>179.32740466000001</v>
      </c>
      <c r="AC105" s="18">
        <v>0.99838916640609388</v>
      </c>
      <c r="AD105" s="18">
        <v>0.28886660773432027</v>
      </c>
      <c r="AE105" s="56">
        <v>1.1029012782287995</v>
      </c>
    </row>
    <row r="106" spans="1:31" ht="15" outlineLevel="3" thickBot="1" x14ac:dyDescent="0.35">
      <c r="A106" s="47">
        <v>33112</v>
      </c>
      <c r="B106" s="80" t="s">
        <v>67</v>
      </c>
      <c r="C106" s="32" t="s">
        <v>43</v>
      </c>
      <c r="D106" s="32" t="s">
        <v>49</v>
      </c>
      <c r="E106" s="32" t="s">
        <v>47</v>
      </c>
      <c r="F106" s="51">
        <v>17</v>
      </c>
      <c r="G106" s="39">
        <v>178.5</v>
      </c>
      <c r="H106" s="33">
        <v>155</v>
      </c>
      <c r="I106" s="58">
        <v>115.16129032258064</v>
      </c>
      <c r="J106" s="41">
        <v>3.2</v>
      </c>
      <c r="K106" s="40">
        <v>6.07</v>
      </c>
      <c r="L106" s="40">
        <v>123.87755102040816</v>
      </c>
      <c r="M106" s="42">
        <v>14.8</v>
      </c>
      <c r="N106" s="42">
        <v>135.97655839999999</v>
      </c>
      <c r="O106" s="64">
        <v>7.7700890514285703</v>
      </c>
      <c r="P106" s="42">
        <v>140.07329999999999</v>
      </c>
      <c r="Q106" s="42">
        <v>69.729699999999994</v>
      </c>
      <c r="R106" s="42">
        <v>111.96810614</v>
      </c>
      <c r="S106" s="42">
        <v>48.655754475703326</v>
      </c>
      <c r="T106" s="43">
        <v>1.9024400000000001</v>
      </c>
      <c r="U106" s="42">
        <v>107.352</v>
      </c>
      <c r="V106" s="33">
        <v>17</v>
      </c>
      <c r="W106" s="42">
        <v>41.2</v>
      </c>
      <c r="X106" s="42">
        <v>57.6</v>
      </c>
      <c r="Y106" s="44">
        <v>3.3909465020576133</v>
      </c>
      <c r="Z106" s="44">
        <v>2.874251497005988</v>
      </c>
      <c r="AA106" s="42">
        <v>178.79850349517508</v>
      </c>
      <c r="AB106" s="42">
        <v>181.69780614000001</v>
      </c>
      <c r="AC106" s="40">
        <v>0.98404327104207856</v>
      </c>
      <c r="AD106" s="40">
        <v>2.8993026448249282</v>
      </c>
      <c r="AE106" s="58">
        <v>1.1506152493834234</v>
      </c>
    </row>
    <row r="107" spans="1:31" ht="15" outlineLevel="2" thickTop="1" x14ac:dyDescent="0.3">
      <c r="A107" s="47">
        <v>33112</v>
      </c>
      <c r="B107" s="80" t="s">
        <v>67</v>
      </c>
      <c r="C107" s="81"/>
      <c r="D107" s="95" t="s">
        <v>81</v>
      </c>
      <c r="E107" s="81"/>
      <c r="F107" s="50"/>
      <c r="G107" s="17">
        <f>SUBTOTAL(1,G104:G106)</f>
        <v>218.51</v>
      </c>
      <c r="H107" s="31">
        <f>SUBTOTAL(1,H104:H106)</f>
        <v>170.33333333333334</v>
      </c>
      <c r="I107" s="56">
        <f>SUBTOTAL(1,I104:I106)</f>
        <v>127.70640222012882</v>
      </c>
      <c r="J107" s="19">
        <f>SUBTOTAL(1,J104:J106)</f>
        <v>3.1733333333333333</v>
      </c>
      <c r="K107" s="85">
        <f>SUBTOTAL(1,K104:K106)</f>
        <v>6.6933333333333325</v>
      </c>
      <c r="L107" s="85">
        <f>SUBTOTAL(1,L104:L106)</f>
        <v>136.59863945578232</v>
      </c>
      <c r="M107" s="86">
        <f>SUBTOTAL(1,M104:M106)</f>
        <v>15.333333333333334</v>
      </c>
      <c r="N107" s="86">
        <f>SUBTOTAL(1,N104:N106)</f>
        <v>141.72717693333331</v>
      </c>
      <c r="O107" s="62">
        <f>SUBTOTAL(1,O104:O106)</f>
        <v>8.0986958247619043</v>
      </c>
      <c r="P107" s="86">
        <f>SUBTOTAL(1,P104:P106)</f>
        <v>146.6028</v>
      </c>
      <c r="Q107" s="86">
        <f>SUBTOTAL(1,Q104:Q106)</f>
        <v>82.018933333333337</v>
      </c>
      <c r="R107" s="86">
        <f>SUBTOTAL(1,R104:R106)</f>
        <v>108.57502005333333</v>
      </c>
      <c r="S107" s="86">
        <f>SUBTOTAL(1,S104:S106)</f>
        <v>46.619948849104865</v>
      </c>
      <c r="T107" s="87">
        <f>SUBTOTAL(1,T104:T106)</f>
        <v>1.82284</v>
      </c>
      <c r="U107" s="86">
        <f>SUBTOTAL(1,U104:U106)</f>
        <v>103.14536666666667</v>
      </c>
      <c r="V107" s="31">
        <f>SUBTOTAL(1,V104:V106)</f>
        <v>16</v>
      </c>
      <c r="W107" s="86">
        <f>SUBTOTAL(1,W104:W106)</f>
        <v>39.333333333333336</v>
      </c>
      <c r="X107" s="86">
        <f>SUBTOTAL(1,X104:X106)</f>
        <v>53.866666666666667</v>
      </c>
      <c r="Y107" s="88">
        <f>SUBTOTAL(1,Y104:Y106)</f>
        <v>3.2373113854595332</v>
      </c>
      <c r="Z107" s="88">
        <f>SUBTOTAL(1,Z104:Z106)</f>
        <v>2.6879574184963406</v>
      </c>
      <c r="AA107" s="86">
        <f>SUBTOTAL(1,AA104:AA106)</f>
        <v>189.14385710884304</v>
      </c>
      <c r="AB107" s="86">
        <f>SUBTOTAL(1,AB104:AB106)</f>
        <v>190.5939533866667</v>
      </c>
      <c r="AC107" s="85">
        <f>SUBTOTAL(1,AC104:AC106)</f>
        <v>0.9923061340863516</v>
      </c>
      <c r="AD107" s="85">
        <f>SUBTOTAL(1,AD104:AD106)</f>
        <v>1.4500962778236233</v>
      </c>
      <c r="AE107" s="56">
        <f>SUBTOTAL(1,AE104:AE106)</f>
        <v>1.1685543271642456</v>
      </c>
    </row>
    <row r="108" spans="1:31" outlineLevel="1" x14ac:dyDescent="0.3">
      <c r="A108" s="47">
        <v>33112</v>
      </c>
      <c r="B108" s="80" t="s">
        <v>67</v>
      </c>
      <c r="C108" s="81"/>
      <c r="D108" s="95" t="s">
        <v>78</v>
      </c>
      <c r="E108" s="81"/>
      <c r="F108" s="50"/>
      <c r="G108" s="90">
        <f>SUBTOTAL(7,G104:G106)</f>
        <v>35.1559824212042</v>
      </c>
      <c r="H108" s="31">
        <f>SUBTOTAL(7,H104:H106)</f>
        <v>13.613718571108091</v>
      </c>
      <c r="I108" s="91">
        <f>SUBTOTAL(7,I104:I106)</f>
        <v>10.918113333367735</v>
      </c>
      <c r="J108" s="92">
        <f>SUBTOTAL(7,J104:J106)</f>
        <v>7.3711147958320039E-2</v>
      </c>
      <c r="K108" s="93">
        <f>SUBTOTAL(7,K104:K106)</f>
        <v>1.0709964207845675</v>
      </c>
      <c r="L108" s="93">
        <f>SUBTOTAL(7,L104:L106)</f>
        <v>21.857069811929644</v>
      </c>
      <c r="M108" s="93">
        <f>SUBTOTAL(7,M104:M106)</f>
        <v>0.75718777944003579</v>
      </c>
      <c r="N108" s="93">
        <f>SUBTOTAL(7,N104:N106)</f>
        <v>8.170939240979763</v>
      </c>
      <c r="O108" s="91">
        <f>SUBTOTAL(7,O104:O106)</f>
        <v>0.46691081377027183</v>
      </c>
      <c r="P108" s="93">
        <f>SUBTOTAL(7,P104:P106)</f>
        <v>8.1677455120737008</v>
      </c>
      <c r="Q108" s="93">
        <f>SUBTOTAL(7,Q104:Q106)</f>
        <v>20.10688818547845</v>
      </c>
      <c r="R108" s="93">
        <f>SUBTOTAL(7,R104:R106)</f>
        <v>3.2315318984643651</v>
      </c>
      <c r="S108" s="93">
        <f>SUBTOTAL(7,S104:S106)</f>
        <v>3.8840695873549351</v>
      </c>
      <c r="T108" s="93">
        <f>SUBTOTAL(7,T104:T106)</f>
        <v>0.15186712086557788</v>
      </c>
      <c r="U108" s="93">
        <f>SUBTOTAL(7,U104:U106)</f>
        <v>4.4036634298426289</v>
      </c>
      <c r="V108" s="31">
        <f>SUBTOTAL(7,V104:V106)</f>
        <v>1</v>
      </c>
      <c r="W108" s="93">
        <f>SUBTOTAL(7,W104:W106)</f>
        <v>2.0132891827388666</v>
      </c>
      <c r="X108" s="93">
        <f>SUBTOTAL(7,X104:X106)</f>
        <v>3.3306655991458123</v>
      </c>
      <c r="Y108" s="93">
        <f>SUBTOTAL(7,Y104:Y106)</f>
        <v>0.1657028133941453</v>
      </c>
      <c r="Z108" s="93">
        <f>SUBTOTAL(7,Z104:Z106)</f>
        <v>0.16620087820088861</v>
      </c>
      <c r="AA108" s="93">
        <f>SUBTOTAL(7,AA104:AA106)</f>
        <v>17.711208700884562</v>
      </c>
      <c r="AB108" s="93">
        <f>SUBTOTAL(7,AB104:AB106)</f>
        <v>17.501583713450067</v>
      </c>
      <c r="AC108" s="93">
        <f>SUBTOTAL(7,AC104:AC106)</f>
        <v>7.4172046580585037E-3</v>
      </c>
      <c r="AD108" s="93">
        <f>SUBTOTAL(7,AD104:AD106)</f>
        <v>1.328831068800165</v>
      </c>
      <c r="AE108" s="91">
        <f>SUBTOTAL(7,AE104:AE106)</f>
        <v>7.6222624577926848E-2</v>
      </c>
    </row>
    <row r="109" spans="1:31" outlineLevel="3" x14ac:dyDescent="0.3">
      <c r="A109" s="48">
        <v>33119</v>
      </c>
      <c r="B109" s="80" t="s">
        <v>68</v>
      </c>
      <c r="C109" s="7" t="s">
        <v>43</v>
      </c>
      <c r="D109" s="7" t="s">
        <v>44</v>
      </c>
      <c r="E109" s="7" t="s">
        <v>45</v>
      </c>
      <c r="F109" s="49">
        <v>9</v>
      </c>
      <c r="G109" s="14">
        <v>218.38</v>
      </c>
      <c r="H109" s="2">
        <v>179</v>
      </c>
      <c r="I109" s="55">
        <v>122</v>
      </c>
      <c r="J109" s="15">
        <v>3.11</v>
      </c>
      <c r="K109" s="13">
        <v>6.82</v>
      </c>
      <c r="L109" s="13">
        <v>139.18367346938777</v>
      </c>
      <c r="M109" s="4">
        <v>17.2</v>
      </c>
      <c r="N109" s="4">
        <v>161.96428639999999</v>
      </c>
      <c r="O109" s="61">
        <v>9.2551020800000003</v>
      </c>
      <c r="P109" s="4">
        <v>164.4323</v>
      </c>
      <c r="Q109" s="4">
        <v>79.430000000000007</v>
      </c>
      <c r="R109" s="4">
        <v>87.877766000000008</v>
      </c>
      <c r="S109" s="4">
        <v>23.411764705882351</v>
      </c>
      <c r="T109" s="16">
        <v>0.91539999999999999</v>
      </c>
      <c r="U109" s="4">
        <v>82.619500000000002</v>
      </c>
      <c r="V109" s="2">
        <v>9</v>
      </c>
      <c r="W109" s="4">
        <v>35.200000000000003</v>
      </c>
      <c r="X109" s="4">
        <v>45.2</v>
      </c>
      <c r="Y109" s="5">
        <v>2.8971193415637861</v>
      </c>
      <c r="Z109" s="5">
        <v>2.2554890219560879</v>
      </c>
      <c r="AA109" s="4">
        <v>167.74804653878999</v>
      </c>
      <c r="AB109" s="4">
        <v>167.30776600000002</v>
      </c>
      <c r="AC109" s="13">
        <v>1.0026315606819469</v>
      </c>
      <c r="AD109" s="13">
        <v>-0.44028053878997753</v>
      </c>
      <c r="AE109" s="55">
        <v>1.8767864597989952</v>
      </c>
    </row>
    <row r="110" spans="1:31" outlineLevel="3" x14ac:dyDescent="0.3">
      <c r="A110" s="47">
        <v>33119</v>
      </c>
      <c r="B110" s="80" t="s">
        <v>68</v>
      </c>
      <c r="C110" s="3" t="s">
        <v>43</v>
      </c>
      <c r="D110" s="3" t="s">
        <v>44</v>
      </c>
      <c r="E110" s="7" t="s">
        <v>46</v>
      </c>
      <c r="F110" s="50">
        <v>10</v>
      </c>
      <c r="G110" s="17">
        <v>217.08</v>
      </c>
      <c r="H110" s="6">
        <v>165</v>
      </c>
      <c r="I110" s="56">
        <v>131.56363636363636</v>
      </c>
      <c r="J110" s="19">
        <v>3.11</v>
      </c>
      <c r="K110" s="18">
        <v>6.83</v>
      </c>
      <c r="L110" s="18">
        <v>139.38775510204081</v>
      </c>
      <c r="M110" s="20">
        <v>17.2</v>
      </c>
      <c r="N110" s="20">
        <v>161.96428639999999</v>
      </c>
      <c r="O110" s="62">
        <v>9.2551020800000003</v>
      </c>
      <c r="P110" s="20">
        <v>167.38470000000001</v>
      </c>
      <c r="Q110" s="20">
        <v>79.758399999999995</v>
      </c>
      <c r="R110" s="20">
        <v>88.457206079999992</v>
      </c>
      <c r="S110" s="20">
        <v>24.836828644501278</v>
      </c>
      <c r="T110" s="21">
        <v>0.97111999999999998</v>
      </c>
      <c r="U110" s="20">
        <v>83.177199999999999</v>
      </c>
      <c r="V110" s="6">
        <v>10</v>
      </c>
      <c r="W110" s="20">
        <v>34.4</v>
      </c>
      <c r="X110" s="20">
        <v>40.4</v>
      </c>
      <c r="Y110" s="22">
        <v>2.831275720164609</v>
      </c>
      <c r="Z110" s="22">
        <v>2.0159680638722555</v>
      </c>
      <c r="AA110" s="20">
        <v>169.07182753057896</v>
      </c>
      <c r="AB110" s="20">
        <v>168.21560607999999</v>
      </c>
      <c r="AC110" s="18">
        <v>1.0050900238719336</v>
      </c>
      <c r="AD110" s="18">
        <v>-0.85622145057897114</v>
      </c>
      <c r="AE110" s="56">
        <v>1.7807669277370457</v>
      </c>
    </row>
    <row r="111" spans="1:31" outlineLevel="3" x14ac:dyDescent="0.3">
      <c r="A111" s="47">
        <v>33119</v>
      </c>
      <c r="B111" s="80" t="s">
        <v>68</v>
      </c>
      <c r="C111" s="3" t="s">
        <v>43</v>
      </c>
      <c r="D111" s="7" t="s">
        <v>44</v>
      </c>
      <c r="E111" s="7" t="s">
        <v>47</v>
      </c>
      <c r="F111" s="50">
        <v>11</v>
      </c>
      <c r="G111" s="17">
        <v>241.31</v>
      </c>
      <c r="H111" s="6">
        <v>188</v>
      </c>
      <c r="I111" s="56">
        <v>128.35638297872342</v>
      </c>
      <c r="J111" s="19">
        <v>3.19</v>
      </c>
      <c r="K111" s="18">
        <v>6.09</v>
      </c>
      <c r="L111" s="18">
        <v>124.28571428571428</v>
      </c>
      <c r="M111" s="20">
        <v>17.8</v>
      </c>
      <c r="N111" s="20">
        <v>168.53292139999999</v>
      </c>
      <c r="O111" s="62">
        <v>9.6304526514285715</v>
      </c>
      <c r="P111" s="20">
        <v>170.78309999999999</v>
      </c>
      <c r="Q111" s="20">
        <v>61.406599999999997</v>
      </c>
      <c r="R111" s="20">
        <v>94.580216919999998</v>
      </c>
      <c r="S111" s="20">
        <v>29.112020460358053</v>
      </c>
      <c r="T111" s="21">
        <v>1.13828</v>
      </c>
      <c r="U111" s="20">
        <v>90.515100000000004</v>
      </c>
      <c r="V111" s="6">
        <v>11</v>
      </c>
      <c r="W111" s="20">
        <v>38.799999999999997</v>
      </c>
      <c r="X111" s="20">
        <v>45.6</v>
      </c>
      <c r="Y111" s="22">
        <v>3.193415637860082</v>
      </c>
      <c r="Z111" s="22">
        <v>2.2754491017964069</v>
      </c>
      <c r="AA111" s="20">
        <v>158.86659948572881</v>
      </c>
      <c r="AB111" s="20">
        <v>155.98681692</v>
      </c>
      <c r="AC111" s="18">
        <v>1.0184617047939748</v>
      </c>
      <c r="AD111" s="18">
        <v>-2.8797825657288172</v>
      </c>
      <c r="AE111" s="56">
        <v>1.6244186323101524</v>
      </c>
    </row>
    <row r="112" spans="1:31" outlineLevel="2" x14ac:dyDescent="0.3">
      <c r="A112" s="47">
        <v>33119</v>
      </c>
      <c r="B112" s="80" t="s">
        <v>68</v>
      </c>
      <c r="C112" s="3"/>
      <c r="D112" s="89" t="s">
        <v>79</v>
      </c>
      <c r="E112" s="7"/>
      <c r="F112" s="50"/>
      <c r="G112" s="17">
        <f>SUBTOTAL(1,G109:G111)</f>
        <v>225.59</v>
      </c>
      <c r="H112" s="6">
        <f>SUBTOTAL(1,H109:H111)</f>
        <v>177.33333333333334</v>
      </c>
      <c r="I112" s="56">
        <f>SUBTOTAL(1,I109:I111)</f>
        <v>127.30667311411992</v>
      </c>
      <c r="J112" s="19">
        <f>SUBTOTAL(1,J109:J111)</f>
        <v>3.1366666666666667</v>
      </c>
      <c r="K112" s="18">
        <f>SUBTOTAL(1,K109:K111)</f>
        <v>6.580000000000001</v>
      </c>
      <c r="L112" s="18">
        <f>SUBTOTAL(1,L109:L111)</f>
        <v>134.28571428571428</v>
      </c>
      <c r="M112" s="20">
        <f>SUBTOTAL(1,M109:M111)</f>
        <v>17.400000000000002</v>
      </c>
      <c r="N112" s="20">
        <f>SUBTOTAL(1,N109:N111)</f>
        <v>164.15383139999997</v>
      </c>
      <c r="O112" s="62">
        <f>SUBTOTAL(1,O109:O111)</f>
        <v>9.3802189371428568</v>
      </c>
      <c r="P112" s="20">
        <f>SUBTOTAL(1,P109:P111)</f>
        <v>167.53336666666667</v>
      </c>
      <c r="Q112" s="20">
        <f>SUBTOTAL(1,Q109:Q111)</f>
        <v>73.531666666666666</v>
      </c>
      <c r="R112" s="20">
        <f>SUBTOTAL(1,R109:R111)</f>
        <v>90.305063000000004</v>
      </c>
      <c r="S112" s="20">
        <f>SUBTOTAL(1,S109:S111)</f>
        <v>25.786871270247229</v>
      </c>
      <c r="T112" s="21">
        <f>SUBTOTAL(1,T109:T111)</f>
        <v>1.0082666666666666</v>
      </c>
      <c r="U112" s="20">
        <f>SUBTOTAL(1,U109:U111)</f>
        <v>85.437266666666673</v>
      </c>
      <c r="V112" s="6">
        <f>SUBTOTAL(1,V109:V111)</f>
        <v>10</v>
      </c>
      <c r="W112" s="20">
        <f>SUBTOTAL(1,W109:W111)</f>
        <v>36.133333333333333</v>
      </c>
      <c r="X112" s="20">
        <f>SUBTOTAL(1,X109:X111)</f>
        <v>43.733333333333327</v>
      </c>
      <c r="Y112" s="22">
        <f>SUBTOTAL(1,Y109:Y111)</f>
        <v>2.9739368998628257</v>
      </c>
      <c r="Z112" s="22">
        <f>SUBTOTAL(1,Z109:Z111)</f>
        <v>2.1823020625415834</v>
      </c>
      <c r="AA112" s="20">
        <f>SUBTOTAL(1,AA109:AA111)</f>
        <v>165.22882451836594</v>
      </c>
      <c r="AB112" s="20">
        <f>SUBTOTAL(1,AB109:AB111)</f>
        <v>163.83672966666666</v>
      </c>
      <c r="AC112" s="18">
        <f>SUBTOTAL(1,AC109:AC111)</f>
        <v>1.0087277631159519</v>
      </c>
      <c r="AD112" s="18">
        <f>SUBTOTAL(1,AD109:AD111)</f>
        <v>-1.3920948516992553</v>
      </c>
      <c r="AE112" s="56">
        <f>SUBTOTAL(1,AE109:AE111)</f>
        <v>1.7606573399487309</v>
      </c>
    </row>
    <row r="113" spans="1:31" outlineLevel="1" x14ac:dyDescent="0.3">
      <c r="A113" s="47">
        <v>33119</v>
      </c>
      <c r="B113" s="80" t="s">
        <v>68</v>
      </c>
      <c r="C113" s="3"/>
      <c r="D113" s="89" t="s">
        <v>76</v>
      </c>
      <c r="E113" s="7"/>
      <c r="F113" s="50"/>
      <c r="G113" s="90">
        <f>SUBTOTAL(7,G109:G111)</f>
        <v>13.629427720927975</v>
      </c>
      <c r="H113" s="6">
        <f>SUBTOTAL(7,H109:H111)</f>
        <v>11.590225767142472</v>
      </c>
      <c r="I113" s="91">
        <f>SUBTOTAL(7,I109:I111)</f>
        <v>4.867463736264642</v>
      </c>
      <c r="J113" s="92">
        <f>SUBTOTAL(7,J109:J111)</f>
        <v>4.6188021535170098E-2</v>
      </c>
      <c r="K113" s="94">
        <f>SUBTOTAL(7,K109:K111)</f>
        <v>0.42438190347845905</v>
      </c>
      <c r="L113" s="94">
        <f>SUBTOTAL(7,L109:L111)</f>
        <v>8.6608551730297805</v>
      </c>
      <c r="M113" s="94">
        <f>SUBTOTAL(7,M109:M111)</f>
        <v>0.34641016151377629</v>
      </c>
      <c r="N113" s="94">
        <f>SUBTOTAL(7,N109:N111)</f>
        <v>3.7924031854583977</v>
      </c>
      <c r="O113" s="91">
        <f>SUBTOTAL(7,O109:O111)</f>
        <v>0.21670875345476545</v>
      </c>
      <c r="P113" s="94">
        <f>SUBTOTAL(7,P109:P111)</f>
        <v>3.1780090455084151</v>
      </c>
      <c r="Q113" s="94">
        <f>SUBTOTAL(7,Q109:Q111)</f>
        <v>10.501899489774914</v>
      </c>
      <c r="R113" s="94">
        <f>SUBTOTAL(7,R109:R111)</f>
        <v>3.7137102042763264</v>
      </c>
      <c r="S113" s="94">
        <f>SUBTOTAL(7,S109:S111)</f>
        <v>2.9665071480883087</v>
      </c>
      <c r="T113" s="94">
        <f>SUBTOTAL(7,T109:T111)</f>
        <v>0.1159904294902529</v>
      </c>
      <c r="U113" s="94">
        <f>SUBTOTAL(7,U109:U111)</f>
        <v>4.4063648105136899</v>
      </c>
      <c r="V113" s="6">
        <f>SUBTOTAL(7,V109:V111)</f>
        <v>1</v>
      </c>
      <c r="W113" s="94">
        <f>SUBTOTAL(7,W109:W111)</f>
        <v>2.3437861108329243</v>
      </c>
      <c r="X113" s="94">
        <f>SUBTOTAL(7,X109:X111)</f>
        <v>2.8936712552280963</v>
      </c>
      <c r="Y113" s="94">
        <f>SUBTOTAL(7,Y109:Y111)</f>
        <v>0.19290420665291552</v>
      </c>
      <c r="Z113" s="94">
        <f>SUBTOTAL(7,Z109:Z111)</f>
        <v>0.14439477321497471</v>
      </c>
      <c r="AA113" s="94">
        <f>SUBTOTAL(7,AA109:AA111)</f>
        <v>5.549462095824345</v>
      </c>
      <c r="AB113" s="94">
        <f>SUBTOTAL(7,AB109:AB111)</f>
        <v>6.813361211650494</v>
      </c>
      <c r="AC113" s="94">
        <f>SUBTOTAL(7,AC109:AC111)</f>
        <v>8.5189920622979354E-3</v>
      </c>
      <c r="AD113" s="94">
        <f>SUBTOTAL(7,AD109:AD111)</f>
        <v>1.3050527810708816</v>
      </c>
      <c r="AE113" s="91">
        <f>SUBTOTAL(7,AE109:AE111)</f>
        <v>0.12738004839307263</v>
      </c>
    </row>
    <row r="114" spans="1:31" outlineLevel="3" x14ac:dyDescent="0.3">
      <c r="A114" s="47">
        <v>33119</v>
      </c>
      <c r="B114" s="80" t="s">
        <v>68</v>
      </c>
      <c r="C114" s="3" t="s">
        <v>43</v>
      </c>
      <c r="D114" s="7" t="s">
        <v>48</v>
      </c>
      <c r="E114" s="23" t="s">
        <v>45</v>
      </c>
      <c r="F114" s="52">
        <v>12</v>
      </c>
      <c r="G114" s="25">
        <v>209.78</v>
      </c>
      <c r="H114" s="24">
        <v>155</v>
      </c>
      <c r="I114" s="57">
        <v>135.34193548387097</v>
      </c>
      <c r="J114" s="27">
        <v>3.23</v>
      </c>
      <c r="K114" s="26">
        <v>6.51</v>
      </c>
      <c r="L114" s="26">
        <v>132.85714285714283</v>
      </c>
      <c r="M114" s="28">
        <v>17</v>
      </c>
      <c r="N114" s="28">
        <v>159.78111499999997</v>
      </c>
      <c r="O114" s="63">
        <v>9.1303494285714262</v>
      </c>
      <c r="P114" s="28">
        <v>162.5821</v>
      </c>
      <c r="Q114" s="28">
        <v>69.035799999999995</v>
      </c>
      <c r="R114" s="28">
        <v>104.45076996</v>
      </c>
      <c r="S114" s="28">
        <v>38.680306905370841</v>
      </c>
      <c r="T114" s="29">
        <v>1.5124</v>
      </c>
      <c r="U114" s="28">
        <v>99.880600000000001</v>
      </c>
      <c r="V114" s="24">
        <v>12</v>
      </c>
      <c r="W114" s="28">
        <v>39.6</v>
      </c>
      <c r="X114" s="28">
        <v>47.6</v>
      </c>
      <c r="Y114" s="30">
        <v>3.2592592592592591</v>
      </c>
      <c r="Z114" s="30">
        <v>2.3752495009980037</v>
      </c>
      <c r="AA114" s="28">
        <v>177.17195852277095</v>
      </c>
      <c r="AB114" s="28">
        <v>173.48656996</v>
      </c>
      <c r="AC114" s="26">
        <v>1.0212430769921883</v>
      </c>
      <c r="AD114" s="26">
        <v>-3.6853885627709531</v>
      </c>
      <c r="AE114" s="57">
        <v>1.3501802120589792</v>
      </c>
    </row>
    <row r="115" spans="1:31" outlineLevel="3" x14ac:dyDescent="0.3">
      <c r="A115" s="47">
        <v>33119</v>
      </c>
      <c r="B115" s="80" t="s">
        <v>68</v>
      </c>
      <c r="C115" s="7" t="s">
        <v>43</v>
      </c>
      <c r="D115" s="7" t="s">
        <v>48</v>
      </c>
      <c r="E115" s="7" t="s">
        <v>46</v>
      </c>
      <c r="F115" s="50">
        <v>13</v>
      </c>
      <c r="G115" s="17">
        <v>241.29</v>
      </c>
      <c r="H115" s="6">
        <v>187</v>
      </c>
      <c r="I115" s="56">
        <v>129.03208556149733</v>
      </c>
      <c r="J115" s="19">
        <v>3.32</v>
      </c>
      <c r="K115" s="18">
        <v>5.65</v>
      </c>
      <c r="L115" s="18">
        <v>115.30612244897961</v>
      </c>
      <c r="M115" s="20">
        <v>16.600000000000001</v>
      </c>
      <c r="N115" s="20">
        <v>155.42433259999999</v>
      </c>
      <c r="O115" s="62">
        <v>8.8813904342857128</v>
      </c>
      <c r="P115" s="20">
        <v>157.98220000000001</v>
      </c>
      <c r="Q115" s="20">
        <v>55.324399999999997</v>
      </c>
      <c r="R115" s="20">
        <v>101.41767528</v>
      </c>
      <c r="S115" s="20">
        <v>43.566240409207161</v>
      </c>
      <c r="T115" s="21">
        <v>1.7034400000000001</v>
      </c>
      <c r="U115" s="20">
        <v>97.755200000000002</v>
      </c>
      <c r="V115" s="6">
        <v>13</v>
      </c>
      <c r="W115" s="20">
        <v>42.8</v>
      </c>
      <c r="X115" s="20">
        <v>52</v>
      </c>
      <c r="Y115" s="22">
        <v>3.5226337448559675</v>
      </c>
      <c r="Z115" s="22">
        <v>2.5948103792415171</v>
      </c>
      <c r="AA115" s="20">
        <v>164.98980698228425</v>
      </c>
      <c r="AB115" s="20">
        <v>156.74207527999999</v>
      </c>
      <c r="AC115" s="18">
        <v>1.0526197684160474</v>
      </c>
      <c r="AD115" s="18">
        <v>-8.2477317022842556</v>
      </c>
      <c r="AE115" s="56">
        <v>1.1639479827431549</v>
      </c>
    </row>
    <row r="116" spans="1:31" outlineLevel="3" x14ac:dyDescent="0.3">
      <c r="A116" s="47">
        <v>33119</v>
      </c>
      <c r="B116" s="80" t="s">
        <v>68</v>
      </c>
      <c r="C116" s="7" t="s">
        <v>43</v>
      </c>
      <c r="D116" s="7" t="s">
        <v>48</v>
      </c>
      <c r="E116" s="7" t="s">
        <v>47</v>
      </c>
      <c r="F116" s="50">
        <v>14</v>
      </c>
      <c r="G116" s="17">
        <v>255.65</v>
      </c>
      <c r="H116" s="6">
        <v>194</v>
      </c>
      <c r="I116" s="56">
        <v>131.77835051546393</v>
      </c>
      <c r="J116" s="19">
        <v>3.26</v>
      </c>
      <c r="K116" s="18">
        <v>6</v>
      </c>
      <c r="L116" s="18">
        <v>122.44897959183673</v>
      </c>
      <c r="M116" s="20">
        <v>16.5</v>
      </c>
      <c r="N116" s="20">
        <v>154.33712874999998</v>
      </c>
      <c r="O116" s="62">
        <v>8.8192644999999992</v>
      </c>
      <c r="P116" s="20">
        <v>156.43780000000001</v>
      </c>
      <c r="Q116" s="20">
        <v>58.832700000000003</v>
      </c>
      <c r="R116" s="20">
        <v>104.33422474</v>
      </c>
      <c r="S116" s="20">
        <v>39.087468030690538</v>
      </c>
      <c r="T116" s="21">
        <v>1.5283199999999999</v>
      </c>
      <c r="U116" s="20">
        <v>100.4395</v>
      </c>
      <c r="V116" s="6">
        <v>14</v>
      </c>
      <c r="W116" s="20">
        <v>38.799999999999997</v>
      </c>
      <c r="X116" s="20">
        <v>45.2</v>
      </c>
      <c r="Y116" s="22">
        <v>3.193415637860082</v>
      </c>
      <c r="Z116" s="22">
        <v>2.2554890219560879</v>
      </c>
      <c r="AA116" s="20">
        <v>166.98535228234346</v>
      </c>
      <c r="AB116" s="20">
        <v>163.16692474000001</v>
      </c>
      <c r="AC116" s="18">
        <v>1.0234019703958259</v>
      </c>
      <c r="AD116" s="18">
        <v>-3.8184275423434428</v>
      </c>
      <c r="AE116" s="56">
        <v>1.3346250089424989</v>
      </c>
    </row>
    <row r="117" spans="1:31" outlineLevel="2" x14ac:dyDescent="0.3">
      <c r="A117" s="47">
        <v>33119</v>
      </c>
      <c r="B117" s="80" t="s">
        <v>68</v>
      </c>
      <c r="C117" s="7"/>
      <c r="D117" s="89" t="s">
        <v>80</v>
      </c>
      <c r="E117" s="7"/>
      <c r="F117" s="50"/>
      <c r="G117" s="17">
        <f>SUBTOTAL(1,G114:G116)</f>
        <v>235.57333333333335</v>
      </c>
      <c r="H117" s="6">
        <f>SUBTOTAL(1,H114:H116)</f>
        <v>178.66666666666666</v>
      </c>
      <c r="I117" s="56">
        <f>SUBTOTAL(1,I114:I116)</f>
        <v>132.05079052027739</v>
      </c>
      <c r="J117" s="19">
        <f>SUBTOTAL(1,J114:J116)</f>
        <v>3.2699999999999996</v>
      </c>
      <c r="K117" s="18">
        <f>SUBTOTAL(1,K114:K116)</f>
        <v>6.0533333333333337</v>
      </c>
      <c r="L117" s="18">
        <f>SUBTOTAL(1,L114:L116)</f>
        <v>123.53741496598639</v>
      </c>
      <c r="M117" s="20">
        <f>SUBTOTAL(1,M114:M116)</f>
        <v>16.7</v>
      </c>
      <c r="N117" s="20">
        <f>SUBTOTAL(1,N114:N116)</f>
        <v>156.51419211666664</v>
      </c>
      <c r="O117" s="62">
        <f>SUBTOTAL(1,O114:O116)</f>
        <v>8.9436681209523794</v>
      </c>
      <c r="P117" s="20">
        <f>SUBTOTAL(1,P114:P116)</f>
        <v>159.00070000000002</v>
      </c>
      <c r="Q117" s="20">
        <f>SUBTOTAL(1,Q114:Q116)</f>
        <v>61.064300000000003</v>
      </c>
      <c r="R117" s="20">
        <f>SUBTOTAL(1,R114:R116)</f>
        <v>103.40088999333334</v>
      </c>
      <c r="S117" s="20">
        <f>SUBTOTAL(1,S114:S116)</f>
        <v>40.444671781756178</v>
      </c>
      <c r="T117" s="21">
        <f>SUBTOTAL(1,T114:T116)</f>
        <v>1.5813866666666667</v>
      </c>
      <c r="U117" s="20">
        <f>SUBTOTAL(1,U114:U116)</f>
        <v>99.358433333333338</v>
      </c>
      <c r="V117" s="6">
        <f>SUBTOTAL(1,V114:V116)</f>
        <v>13</v>
      </c>
      <c r="W117" s="20">
        <f>SUBTOTAL(1,W114:W116)</f>
        <v>40.4</v>
      </c>
      <c r="X117" s="20">
        <f>SUBTOTAL(1,X114:X116)</f>
        <v>48.266666666666673</v>
      </c>
      <c r="Y117" s="22">
        <f>SUBTOTAL(1,Y114:Y116)</f>
        <v>3.3251028806584362</v>
      </c>
      <c r="Z117" s="22">
        <f>SUBTOTAL(1,Z114:Z116)</f>
        <v>2.4085163007318697</v>
      </c>
      <c r="AA117" s="20">
        <f>SUBTOTAL(1,AA114:AA116)</f>
        <v>169.71570592913289</v>
      </c>
      <c r="AB117" s="20">
        <f>SUBTOTAL(1,AB114:AB116)</f>
        <v>164.46518999333333</v>
      </c>
      <c r="AC117" s="18">
        <f>SUBTOTAL(1,AC114:AC116)</f>
        <v>1.0324216052680206</v>
      </c>
      <c r="AD117" s="18">
        <f>SUBTOTAL(1,AD114:AD116)</f>
        <v>-5.2505159357995508</v>
      </c>
      <c r="AE117" s="56">
        <f>SUBTOTAL(1,AE114:AE116)</f>
        <v>1.2829177345815443</v>
      </c>
    </row>
    <row r="118" spans="1:31" outlineLevel="1" x14ac:dyDescent="0.3">
      <c r="A118" s="47">
        <v>33119</v>
      </c>
      <c r="B118" s="80" t="s">
        <v>68</v>
      </c>
      <c r="C118" s="7"/>
      <c r="D118" s="89" t="s">
        <v>77</v>
      </c>
      <c r="E118" s="7"/>
      <c r="F118" s="50"/>
      <c r="G118" s="90">
        <f>SUBTOTAL(7,G114:G116)</f>
        <v>23.463257091319043</v>
      </c>
      <c r="H118" s="6">
        <f>SUBTOTAL(7,H114:H116)</f>
        <v>20.792626898334259</v>
      </c>
      <c r="I118" s="91">
        <f>SUBTOTAL(7,I114:I116)</f>
        <v>3.1637350043716914</v>
      </c>
      <c r="J118" s="92">
        <f>SUBTOTAL(7,J114:J116)</f>
        <v>4.5825756949558344E-2</v>
      </c>
      <c r="K118" s="94">
        <f>SUBTOTAL(7,K114:K116)</f>
        <v>0.43247350593225137</v>
      </c>
      <c r="L118" s="94">
        <f>SUBTOTAL(7,L114:L116)</f>
        <v>8.8259899169847085</v>
      </c>
      <c r="M118" s="94">
        <f>SUBTOTAL(7,M114:M116)</f>
        <v>0.26457513110645881</v>
      </c>
      <c r="N118" s="94">
        <f>SUBTOTAL(7,N114:N116)</f>
        <v>2.8809880071077894</v>
      </c>
      <c r="O118" s="91">
        <f>SUBTOTAL(7,O114:O116)</f>
        <v>0.16462788612044463</v>
      </c>
      <c r="P118" s="94">
        <f>SUBTOTAL(7,P114:P116)</f>
        <v>3.1962653691456779</v>
      </c>
      <c r="Q118" s="94">
        <f>SUBTOTAL(7,Q114:Q116)</f>
        <v>7.1228962796042428</v>
      </c>
      <c r="R118" s="94">
        <f>SUBTOTAL(7,R114:R116)</f>
        <v>1.7185025884363916</v>
      </c>
      <c r="S118" s="94">
        <f>SUBTOTAL(7,S114:S116)</f>
        <v>2.7110123694678254</v>
      </c>
      <c r="T118" s="94">
        <f>SUBTOTAL(7,T114:T116)</f>
        <v>0.106000583646192</v>
      </c>
      <c r="U118" s="94">
        <f>SUBTOTAL(7,U114:U116)</f>
        <v>1.4162839204528608</v>
      </c>
      <c r="V118" s="6">
        <f>SUBTOTAL(7,V114:V116)</f>
        <v>1</v>
      </c>
      <c r="W118" s="94">
        <f>SUBTOTAL(7,W114:W116)</f>
        <v>2.1166010488516718</v>
      </c>
      <c r="X118" s="94">
        <f>SUBTOTAL(7,X114:X116)</f>
        <v>3.4486712417006822</v>
      </c>
      <c r="Y118" s="94">
        <f>SUBTOTAL(7,Y114:Y116)</f>
        <v>0.17420584764211333</v>
      </c>
      <c r="Z118" s="94">
        <f>SUBTOTAL(7,Z114:Z116)</f>
        <v>0.17208938331839746</v>
      </c>
      <c r="AA118" s="94">
        <f>SUBTOTAL(7,AA114:AA116)</f>
        <v>6.5339365864881085</v>
      </c>
      <c r="AB118" s="94">
        <f>SUBTOTAL(7,AB114:AB116)</f>
        <v>8.4474046323794969</v>
      </c>
      <c r="AC118" s="94">
        <f>SUBTOTAL(7,AC114:AC116)</f>
        <v>1.7525397316403436E-2</v>
      </c>
      <c r="AD118" s="94">
        <f>SUBTOTAL(7,AD114:AD116)</f>
        <v>2.5965172068888345</v>
      </c>
      <c r="AE118" s="91">
        <f>SUBTOTAL(7,AE114:AE116)</f>
        <v>0.10332396854246702</v>
      </c>
    </row>
    <row r="119" spans="1:31" outlineLevel="3" x14ac:dyDescent="0.3">
      <c r="A119" s="47">
        <v>33119</v>
      </c>
      <c r="B119" s="80" t="s">
        <v>68</v>
      </c>
      <c r="C119" s="7" t="s">
        <v>43</v>
      </c>
      <c r="D119" s="7" t="s">
        <v>49</v>
      </c>
      <c r="E119" s="7" t="s">
        <v>45</v>
      </c>
      <c r="F119" s="50">
        <v>15</v>
      </c>
      <c r="G119" s="17">
        <v>240.94</v>
      </c>
      <c r="H119" s="6">
        <v>180</v>
      </c>
      <c r="I119" s="56">
        <v>133.85555555555555</v>
      </c>
      <c r="J119" s="19">
        <v>3.22</v>
      </c>
      <c r="K119" s="18">
        <v>7.06</v>
      </c>
      <c r="L119" s="18">
        <v>144.08163265306121</v>
      </c>
      <c r="M119" s="20">
        <v>16.2</v>
      </c>
      <c r="N119" s="20">
        <v>151.08029739999998</v>
      </c>
      <c r="O119" s="62">
        <v>8.6331598514285695</v>
      </c>
      <c r="P119" s="20">
        <v>153.6097</v>
      </c>
      <c r="Q119" s="20">
        <v>88.195400000000006</v>
      </c>
      <c r="R119" s="20">
        <v>99.855635480000004</v>
      </c>
      <c r="S119" s="20">
        <v>42.141176470588228</v>
      </c>
      <c r="T119" s="21">
        <v>1.6477199999999999</v>
      </c>
      <c r="U119" s="20">
        <v>94.017099999999999</v>
      </c>
      <c r="V119" s="6">
        <v>15</v>
      </c>
      <c r="W119" s="20">
        <v>39.200000000000003</v>
      </c>
      <c r="X119" s="20">
        <v>44</v>
      </c>
      <c r="Y119" s="22">
        <v>3.2263374485596708</v>
      </c>
      <c r="Z119" s="22">
        <v>2.19560878243513</v>
      </c>
      <c r="AA119" s="20">
        <v>191.64475535464422</v>
      </c>
      <c r="AB119" s="20">
        <v>188.05103548</v>
      </c>
      <c r="AC119" s="18">
        <v>1.0191103434526232</v>
      </c>
      <c r="AD119" s="18">
        <v>-3.593719874644222</v>
      </c>
      <c r="AE119" s="56">
        <v>1.1847751278336127</v>
      </c>
    </row>
    <row r="120" spans="1:31" outlineLevel="3" x14ac:dyDescent="0.3">
      <c r="A120" s="47">
        <v>33119</v>
      </c>
      <c r="B120" s="80" t="s">
        <v>68</v>
      </c>
      <c r="C120" s="7" t="s">
        <v>43</v>
      </c>
      <c r="D120" s="7" t="s">
        <v>49</v>
      </c>
      <c r="E120" s="23" t="s">
        <v>46</v>
      </c>
      <c r="F120" s="52">
        <v>16</v>
      </c>
      <c r="G120" s="25">
        <v>247.13</v>
      </c>
      <c r="H120" s="24">
        <v>173</v>
      </c>
      <c r="I120" s="57">
        <v>142.84971098265896</v>
      </c>
      <c r="J120" s="27">
        <v>3.39</v>
      </c>
      <c r="K120" s="26">
        <v>5.32</v>
      </c>
      <c r="L120" s="26">
        <v>108.57142857142858</v>
      </c>
      <c r="M120" s="28">
        <v>17.100000000000001</v>
      </c>
      <c r="N120" s="28">
        <v>160.87230235000001</v>
      </c>
      <c r="O120" s="63">
        <v>9.1927029914285718</v>
      </c>
      <c r="P120" s="28">
        <v>162.19579999999999</v>
      </c>
      <c r="Q120" s="28">
        <v>60.997199999999999</v>
      </c>
      <c r="R120" s="28">
        <v>102.33871464000001</v>
      </c>
      <c r="S120" s="28">
        <v>50.691560102301793</v>
      </c>
      <c r="T120" s="29">
        <v>1.9820400000000002</v>
      </c>
      <c r="U120" s="28">
        <v>98.300700000000006</v>
      </c>
      <c r="V120" s="24">
        <v>16</v>
      </c>
      <c r="W120" s="28">
        <v>40</v>
      </c>
      <c r="X120" s="28">
        <v>45.6</v>
      </c>
      <c r="Y120" s="30">
        <v>3.2921810699588478</v>
      </c>
      <c r="Z120" s="30">
        <v>2.2754491017964069</v>
      </c>
      <c r="AA120" s="28">
        <v>164.83061884548562</v>
      </c>
      <c r="AB120" s="28">
        <v>163.33591464</v>
      </c>
      <c r="AC120" s="26">
        <v>1.009151105614341</v>
      </c>
      <c r="AD120" s="26">
        <v>-1.4947042054856183</v>
      </c>
      <c r="AE120" s="57">
        <v>1.0094255772900649</v>
      </c>
    </row>
    <row r="121" spans="1:31" outlineLevel="3" x14ac:dyDescent="0.3">
      <c r="A121" s="47">
        <v>33119</v>
      </c>
      <c r="B121" s="80" t="s">
        <v>68</v>
      </c>
      <c r="C121" s="7" t="s">
        <v>43</v>
      </c>
      <c r="D121" s="7" t="s">
        <v>49</v>
      </c>
      <c r="E121" s="81" t="s">
        <v>47</v>
      </c>
      <c r="F121" s="50">
        <v>17</v>
      </c>
      <c r="G121" s="17">
        <v>200.53</v>
      </c>
      <c r="H121" s="31">
        <v>166</v>
      </c>
      <c r="I121" s="56">
        <v>120.80120481927712</v>
      </c>
      <c r="J121" s="19">
        <v>3.29</v>
      </c>
      <c r="K121" s="85">
        <v>5.64</v>
      </c>
      <c r="L121" s="85">
        <v>115.10204081632652</v>
      </c>
      <c r="M121" s="86">
        <v>15.8</v>
      </c>
      <c r="N121" s="86">
        <v>146.74900940000001</v>
      </c>
      <c r="O121" s="62">
        <v>8.3856576799999996</v>
      </c>
      <c r="P121" s="86">
        <v>149.50829999999999</v>
      </c>
      <c r="Q121" s="86">
        <v>59.293799999999997</v>
      </c>
      <c r="R121" s="86">
        <v>110.49824955999999</v>
      </c>
      <c r="S121" s="86">
        <v>48.452173913043474</v>
      </c>
      <c r="T121" s="87">
        <v>1.8944799999999999</v>
      </c>
      <c r="U121" s="86">
        <v>106.57299999999999</v>
      </c>
      <c r="V121" s="31">
        <v>17</v>
      </c>
      <c r="W121" s="86">
        <v>41.6</v>
      </c>
      <c r="X121" s="86">
        <v>45.2</v>
      </c>
      <c r="Y121" s="88">
        <v>3.4238683127572016</v>
      </c>
      <c r="Z121" s="88">
        <v>2.2554890219560879</v>
      </c>
      <c r="AA121" s="86">
        <v>169.23357206408329</v>
      </c>
      <c r="AB121" s="86">
        <v>169.79204955999998</v>
      </c>
      <c r="AC121" s="85">
        <v>0.99671081480337897</v>
      </c>
      <c r="AD121" s="85">
        <v>0.55847749591669071</v>
      </c>
      <c r="AE121" s="56">
        <v>1.1402816492641781</v>
      </c>
    </row>
    <row r="122" spans="1:31" outlineLevel="2" x14ac:dyDescent="0.3">
      <c r="A122" s="47">
        <v>33119</v>
      </c>
      <c r="B122" s="80" t="s">
        <v>68</v>
      </c>
      <c r="C122" s="7"/>
      <c r="D122" s="89" t="s">
        <v>81</v>
      </c>
      <c r="E122" s="81"/>
      <c r="F122" s="50"/>
      <c r="G122" s="17">
        <f>SUBTOTAL(1,G119:G121)</f>
        <v>229.53333333333333</v>
      </c>
      <c r="H122" s="31">
        <f>SUBTOTAL(1,H119:H121)</f>
        <v>173</v>
      </c>
      <c r="I122" s="56">
        <f>SUBTOTAL(1,I119:I121)</f>
        <v>132.50215711916388</v>
      </c>
      <c r="J122" s="19">
        <f>SUBTOTAL(1,J119:J121)</f>
        <v>3.3000000000000003</v>
      </c>
      <c r="K122" s="85">
        <f>SUBTOTAL(1,K119:K121)</f>
        <v>6.0066666666666668</v>
      </c>
      <c r="L122" s="85">
        <f>SUBTOTAL(1,L119:L121)</f>
        <v>122.58503401360544</v>
      </c>
      <c r="M122" s="86">
        <f>SUBTOTAL(1,M119:M121)</f>
        <v>16.366666666666664</v>
      </c>
      <c r="N122" s="86">
        <f>SUBTOTAL(1,N119:N121)</f>
        <v>152.90053638333333</v>
      </c>
      <c r="O122" s="62">
        <f>SUBTOTAL(1,O119:O121)</f>
        <v>8.7371735076190475</v>
      </c>
      <c r="P122" s="86">
        <f>SUBTOTAL(1,P119:P121)</f>
        <v>155.1046</v>
      </c>
      <c r="Q122" s="86">
        <f>SUBTOTAL(1,Q119:Q121)</f>
        <v>69.495466666666672</v>
      </c>
      <c r="R122" s="86">
        <f>SUBTOTAL(1,R119:R121)</f>
        <v>104.23086656</v>
      </c>
      <c r="S122" s="86">
        <f>SUBTOTAL(1,S119:S121)</f>
        <v>47.094970161977834</v>
      </c>
      <c r="T122" s="87">
        <f>SUBTOTAL(1,T119:T121)</f>
        <v>1.8414133333333333</v>
      </c>
      <c r="U122" s="86">
        <f>SUBTOTAL(1,U119:U121)</f>
        <v>99.630266666666671</v>
      </c>
      <c r="V122" s="31">
        <f>SUBTOTAL(1,V119:V121)</f>
        <v>16</v>
      </c>
      <c r="W122" s="86">
        <f>SUBTOTAL(1,W119:W121)</f>
        <v>40.266666666666673</v>
      </c>
      <c r="X122" s="86">
        <f>SUBTOTAL(1,X119:X121)</f>
        <v>44.933333333333337</v>
      </c>
      <c r="Y122" s="88">
        <f>SUBTOTAL(1,Y119:Y121)</f>
        <v>3.3141289437585737</v>
      </c>
      <c r="Z122" s="88">
        <f>SUBTOTAL(1,Z119:Z121)</f>
        <v>2.2421823020625418</v>
      </c>
      <c r="AA122" s="86">
        <f>SUBTOTAL(1,AA119:AA121)</f>
        <v>175.23631542140438</v>
      </c>
      <c r="AB122" s="86">
        <f>SUBTOTAL(1,AB119:AB121)</f>
        <v>173.72633322666664</v>
      </c>
      <c r="AC122" s="85">
        <f>SUBTOTAL(1,AC119:AC121)</f>
        <v>1.0083240879567812</v>
      </c>
      <c r="AD122" s="85">
        <f>SUBTOTAL(1,AD119:AD121)</f>
        <v>-1.5099821947377166</v>
      </c>
      <c r="AE122" s="56">
        <f>SUBTOTAL(1,AE119:AE121)</f>
        <v>1.1114941181292852</v>
      </c>
    </row>
    <row r="123" spans="1:31" outlineLevel="1" x14ac:dyDescent="0.3">
      <c r="A123" s="47">
        <v>33119</v>
      </c>
      <c r="B123" s="80" t="s">
        <v>68</v>
      </c>
      <c r="C123" s="7"/>
      <c r="D123" s="89" t="s">
        <v>78</v>
      </c>
      <c r="E123" s="81"/>
      <c r="F123" s="50"/>
      <c r="G123" s="90">
        <f>SUBTOTAL(7,G119:G121)</f>
        <v>25.307588453531743</v>
      </c>
      <c r="H123" s="31">
        <f>SUBTOTAL(7,H119:H121)</f>
        <v>7</v>
      </c>
      <c r="I123" s="91">
        <f>SUBTOTAL(7,I119:I121)</f>
        <v>11.086384510059732</v>
      </c>
      <c r="J123" s="92">
        <f>SUBTOTAL(7,J119:J121)</f>
        <v>8.5440037453175285E-2</v>
      </c>
      <c r="K123" s="93">
        <f>SUBTOTAL(7,K119:K121)</f>
        <v>0.92613893846082063</v>
      </c>
      <c r="L123" s="93">
        <f>SUBTOTAL(7,L119:L121)</f>
        <v>18.900794662465628</v>
      </c>
      <c r="M123" s="93">
        <f>SUBTOTAL(7,M119:M121)</f>
        <v>0.66583281184793985</v>
      </c>
      <c r="N123" s="93">
        <f>SUBTOTAL(7,N119:N121)</f>
        <v>7.2354546094364247</v>
      </c>
      <c r="O123" s="91">
        <f>SUBTOTAL(7,O119:O121)</f>
        <v>0.4134545491106531</v>
      </c>
      <c r="P123" s="93">
        <f>SUBTOTAL(7,P119:P121)</f>
        <v>6.4745045038211213</v>
      </c>
      <c r="Q123" s="93">
        <f>SUBTOTAL(7,Q119:Q121)</f>
        <v>16.21699796180949</v>
      </c>
      <c r="R123" s="93">
        <f>SUBTOTAL(7,R119:R121)</f>
        <v>5.5678979678351901</v>
      </c>
      <c r="S123" s="93">
        <f>SUBTOTAL(7,S119:S121)</f>
        <v>4.433820765299247</v>
      </c>
      <c r="T123" s="93">
        <f>SUBTOTAL(7,T119:T121)</f>
        <v>0.17336239192320055</v>
      </c>
      <c r="U123" s="93">
        <f>SUBTOTAL(7,U119:U121)</f>
        <v>6.3826692569279571</v>
      </c>
      <c r="V123" s="31">
        <f>SUBTOTAL(7,V119:V121)</f>
        <v>1</v>
      </c>
      <c r="W123" s="93">
        <f>SUBTOTAL(7,W119:W121)</f>
        <v>1.2220201853215569</v>
      </c>
      <c r="X123" s="93">
        <f>SUBTOTAL(7,X119:X121)</f>
        <v>0.83266639978645418</v>
      </c>
      <c r="Y123" s="93">
        <f>SUBTOTAL(7,Y119:Y121)</f>
        <v>0.10057779303058083</v>
      </c>
      <c r="Z123" s="93">
        <f>SUBTOTAL(7,Z119:Z121)</f>
        <v>4.1550219550221958E-2</v>
      </c>
      <c r="AA123" s="93">
        <f>SUBTOTAL(7,AA119:AA121)</f>
        <v>14.379644468600219</v>
      </c>
      <c r="AB123" s="93">
        <f>SUBTOTAL(7,AB119:AB121)</f>
        <v>12.81866765741669</v>
      </c>
      <c r="AC123" s="93">
        <f>SUBTOTAL(7,AC119:AC121)</f>
        <v>1.122264182719537E-2</v>
      </c>
      <c r="AD123" s="93">
        <f>SUBTOTAL(7,AD119:AD121)</f>
        <v>2.0761408463155697</v>
      </c>
      <c r="AE123" s="91">
        <f>SUBTOTAL(7,AE119:AE121)</f>
        <v>9.1150467253809944E-2</v>
      </c>
    </row>
    <row r="124" spans="1:31" outlineLevel="3" x14ac:dyDescent="0.3">
      <c r="A124" s="47">
        <v>33126</v>
      </c>
      <c r="B124" s="80" t="s">
        <v>69</v>
      </c>
      <c r="C124" s="7" t="s">
        <v>43</v>
      </c>
      <c r="D124" s="7" t="s">
        <v>44</v>
      </c>
      <c r="E124" s="7" t="s">
        <v>45</v>
      </c>
      <c r="F124" s="50">
        <v>9</v>
      </c>
      <c r="G124" s="17">
        <v>248.2</v>
      </c>
      <c r="H124" s="6">
        <v>194</v>
      </c>
      <c r="I124" s="56">
        <v>127.9381443298969</v>
      </c>
      <c r="J124" s="19">
        <v>3.19</v>
      </c>
      <c r="K124" s="18">
        <v>5.72</v>
      </c>
      <c r="L124" s="18">
        <v>116.73469387755102</v>
      </c>
      <c r="M124" s="20">
        <v>18.399999999999999</v>
      </c>
      <c r="N124" s="20">
        <v>175.13023759999996</v>
      </c>
      <c r="O124" s="62">
        <v>10.007442148571426</v>
      </c>
      <c r="P124" s="20">
        <v>176.51519999999999</v>
      </c>
      <c r="Q124" s="20">
        <v>61.089100000000002</v>
      </c>
      <c r="R124" s="20">
        <v>83.508898419999994</v>
      </c>
      <c r="S124" s="20">
        <v>25.447570332480819</v>
      </c>
      <c r="T124" s="21">
        <v>0.995</v>
      </c>
      <c r="U124" s="20">
        <v>79.464799999999997</v>
      </c>
      <c r="V124" s="6">
        <v>9</v>
      </c>
      <c r="W124" s="20">
        <v>38.4</v>
      </c>
      <c r="X124" s="20">
        <v>38</v>
      </c>
      <c r="Y124" s="22">
        <v>3.1604938271604937</v>
      </c>
      <c r="Z124" s="22">
        <v>1.8962075848303395</v>
      </c>
      <c r="AA124" s="20">
        <v>147.23896562202265</v>
      </c>
      <c r="AB124" s="20">
        <v>144.59799842000001</v>
      </c>
      <c r="AC124" s="18">
        <v>1.0182642030379403</v>
      </c>
      <c r="AD124" s="18">
        <v>-2.6409672020226367</v>
      </c>
      <c r="AE124" s="56">
        <v>1.6408029790060301</v>
      </c>
    </row>
    <row r="125" spans="1:31" outlineLevel="3" x14ac:dyDescent="0.3">
      <c r="A125" s="47">
        <v>33126</v>
      </c>
      <c r="B125" s="80" t="s">
        <v>69</v>
      </c>
      <c r="C125" s="7" t="s">
        <v>43</v>
      </c>
      <c r="D125" s="7" t="s">
        <v>44</v>
      </c>
      <c r="E125" s="7" t="s">
        <v>46</v>
      </c>
      <c r="F125" s="50">
        <v>10</v>
      </c>
      <c r="G125" s="17">
        <v>241.5</v>
      </c>
      <c r="H125" s="6">
        <v>180</v>
      </c>
      <c r="I125" s="56">
        <v>134.16666666666666</v>
      </c>
      <c r="J125" s="19">
        <v>3.19</v>
      </c>
      <c r="K125" s="18">
        <v>5.84</v>
      </c>
      <c r="L125" s="18">
        <v>119.18367346938776</v>
      </c>
      <c r="M125" s="20">
        <v>18.2</v>
      </c>
      <c r="N125" s="20">
        <v>172.92794539999997</v>
      </c>
      <c r="O125" s="62">
        <v>9.8815968799999983</v>
      </c>
      <c r="P125" s="20">
        <v>175.9091</v>
      </c>
      <c r="Q125" s="20">
        <v>63.566600000000001</v>
      </c>
      <c r="R125" s="20">
        <v>84.645108919999998</v>
      </c>
      <c r="S125" s="20">
        <v>26.465473145780049</v>
      </c>
      <c r="T125" s="21">
        <v>1.0347999999999999</v>
      </c>
      <c r="U125" s="20">
        <v>80.436999999999998</v>
      </c>
      <c r="V125" s="6">
        <v>10</v>
      </c>
      <c r="W125" s="20">
        <v>39.200000000000003</v>
      </c>
      <c r="X125" s="20">
        <v>39.200000000000003</v>
      </c>
      <c r="Y125" s="22">
        <v>3.2263374485596708</v>
      </c>
      <c r="Z125" s="22">
        <v>1.9560878243512976</v>
      </c>
      <c r="AA125" s="20">
        <v>150.83157188807877</v>
      </c>
      <c r="AB125" s="20">
        <v>148.21170892000001</v>
      </c>
      <c r="AC125" s="18">
        <v>1.0176764911974188</v>
      </c>
      <c r="AD125" s="18">
        <v>-2.6198629680787633</v>
      </c>
      <c r="AE125" s="56">
        <v>1.5991610740104369</v>
      </c>
    </row>
    <row r="126" spans="1:31" outlineLevel="3" x14ac:dyDescent="0.3">
      <c r="A126" s="47">
        <v>33126</v>
      </c>
      <c r="B126" s="80" t="s">
        <v>69</v>
      </c>
      <c r="C126" s="7" t="s">
        <v>43</v>
      </c>
      <c r="D126" s="7" t="s">
        <v>44</v>
      </c>
      <c r="E126" s="7" t="s">
        <v>47</v>
      </c>
      <c r="F126" s="50">
        <v>11</v>
      </c>
      <c r="G126" s="17">
        <v>264.10000000000002</v>
      </c>
      <c r="H126" s="6">
        <v>191</v>
      </c>
      <c r="I126" s="56">
        <v>138.27225130890054</v>
      </c>
      <c r="J126" s="19">
        <v>3.29</v>
      </c>
      <c r="K126" s="18">
        <v>5.07</v>
      </c>
      <c r="L126" s="18">
        <v>103.46938775510205</v>
      </c>
      <c r="M126" s="20">
        <v>19</v>
      </c>
      <c r="N126" s="20">
        <v>181.756235</v>
      </c>
      <c r="O126" s="62">
        <v>10.386070571428572</v>
      </c>
      <c r="P126" s="20">
        <v>182.441</v>
      </c>
      <c r="Q126" s="20">
        <v>47.210599999999999</v>
      </c>
      <c r="R126" s="20">
        <v>83.271441719999999</v>
      </c>
      <c r="S126" s="20">
        <v>29.51918158567775</v>
      </c>
      <c r="T126" s="21">
        <v>1.1542000000000001</v>
      </c>
      <c r="U126" s="20">
        <v>80.146100000000004</v>
      </c>
      <c r="V126" s="6">
        <v>11</v>
      </c>
      <c r="W126" s="20">
        <v>40.799999999999997</v>
      </c>
      <c r="X126" s="20">
        <v>39.200000000000003</v>
      </c>
      <c r="Y126" s="22">
        <v>3.3580246913580245</v>
      </c>
      <c r="Z126" s="22">
        <v>1.9560878243512976</v>
      </c>
      <c r="AA126" s="20">
        <v>138.30268185648913</v>
      </c>
      <c r="AB126" s="20">
        <v>130.48204171999998</v>
      </c>
      <c r="AC126" s="18">
        <v>1.0599365248535226</v>
      </c>
      <c r="AD126" s="18">
        <v>-7.8206401364891462</v>
      </c>
      <c r="AE126" s="56">
        <v>1.4104632521452087</v>
      </c>
    </row>
    <row r="127" spans="1:31" outlineLevel="2" x14ac:dyDescent="0.3">
      <c r="A127" s="47">
        <v>33126</v>
      </c>
      <c r="B127" s="80" t="s">
        <v>69</v>
      </c>
      <c r="C127" s="7"/>
      <c r="D127" s="89" t="s">
        <v>79</v>
      </c>
      <c r="E127" s="7"/>
      <c r="F127" s="50"/>
      <c r="G127" s="17">
        <f>SUBTOTAL(1,G124:G126)</f>
        <v>251.26666666666665</v>
      </c>
      <c r="H127" s="6">
        <f>SUBTOTAL(1,H124:H126)</f>
        <v>188.33333333333334</v>
      </c>
      <c r="I127" s="56">
        <f>SUBTOTAL(1,I124:I126)</f>
        <v>133.45902076848805</v>
      </c>
      <c r="J127" s="19">
        <f>SUBTOTAL(1,J124:J126)</f>
        <v>3.2233333333333332</v>
      </c>
      <c r="K127" s="18">
        <f>SUBTOTAL(1,K124:K126)</f>
        <v>5.543333333333333</v>
      </c>
      <c r="L127" s="18">
        <f>SUBTOTAL(1,L124:L126)</f>
        <v>113.12925170068029</v>
      </c>
      <c r="M127" s="20">
        <f>SUBTOTAL(1,M124:M126)</f>
        <v>18.533333333333331</v>
      </c>
      <c r="N127" s="20">
        <f>SUBTOTAL(1,N124:N126)</f>
        <v>176.60480599999997</v>
      </c>
      <c r="O127" s="62">
        <f>SUBTOTAL(1,O124:O126)</f>
        <v>10.0917032</v>
      </c>
      <c r="P127" s="20">
        <f>SUBTOTAL(1,P124:P126)</f>
        <v>178.28843333333336</v>
      </c>
      <c r="Q127" s="20">
        <f>SUBTOTAL(1,Q124:Q126)</f>
        <v>57.288766666666668</v>
      </c>
      <c r="R127" s="20">
        <f>SUBTOTAL(1,R124:R126)</f>
        <v>83.808483019999997</v>
      </c>
      <c r="S127" s="20">
        <f>SUBTOTAL(1,S124:S126)</f>
        <v>27.144075021312872</v>
      </c>
      <c r="T127" s="21">
        <f>SUBTOTAL(1,T124:T126)</f>
        <v>1.0613333333333335</v>
      </c>
      <c r="U127" s="20">
        <f>SUBTOTAL(1,U124:U126)</f>
        <v>80.015966666666657</v>
      </c>
      <c r="V127" s="6">
        <f>SUBTOTAL(1,V124:V126)</f>
        <v>10</v>
      </c>
      <c r="W127" s="20">
        <f>SUBTOTAL(1,W124:W126)</f>
        <v>39.466666666666661</v>
      </c>
      <c r="X127" s="20">
        <f>SUBTOTAL(1,X124:X126)</f>
        <v>38.800000000000004</v>
      </c>
      <c r="Y127" s="22">
        <f>SUBTOTAL(1,Y124:Y126)</f>
        <v>3.2482853223593957</v>
      </c>
      <c r="Z127" s="22">
        <f>SUBTOTAL(1,Z124:Z126)</f>
        <v>1.9361277445109781</v>
      </c>
      <c r="AA127" s="20">
        <f>SUBTOTAL(1,AA124:AA126)</f>
        <v>145.45773978886351</v>
      </c>
      <c r="AB127" s="20">
        <f>SUBTOTAL(1,AB124:AB126)</f>
        <v>141.09724968666669</v>
      </c>
      <c r="AC127" s="18">
        <f>SUBTOTAL(1,AC124:AC126)</f>
        <v>1.0319590730296273</v>
      </c>
      <c r="AD127" s="18">
        <f>SUBTOTAL(1,AD124:AD126)</f>
        <v>-4.3604901021968487</v>
      </c>
      <c r="AE127" s="56">
        <f>SUBTOTAL(1,AE124:AE126)</f>
        <v>1.5501424350538919</v>
      </c>
    </row>
    <row r="128" spans="1:31" outlineLevel="1" x14ac:dyDescent="0.3">
      <c r="A128" s="47">
        <v>33126</v>
      </c>
      <c r="B128" s="80" t="s">
        <v>69</v>
      </c>
      <c r="C128" s="7"/>
      <c r="D128" s="89" t="s">
        <v>76</v>
      </c>
      <c r="E128" s="7"/>
      <c r="F128" s="50"/>
      <c r="G128" s="90">
        <f>SUBTOTAL(7,G124:G126)</f>
        <v>11.607899609030639</v>
      </c>
      <c r="H128" s="6">
        <f>SUBTOTAL(7,H124:H126)</f>
        <v>7.3711147958319936</v>
      </c>
      <c r="I128" s="91">
        <f>SUBTOTAL(7,I124:I126)</f>
        <v>5.2032695299474625</v>
      </c>
      <c r="J128" s="92">
        <f>SUBTOTAL(7,J124:J126)</f>
        <v>5.773502691896263E-2</v>
      </c>
      <c r="K128" s="94">
        <f>SUBTOTAL(7,K124:K126)</f>
        <v>0.41428653530296289</v>
      </c>
      <c r="L128" s="94">
        <f>SUBTOTAL(7,L124:L126)</f>
        <v>8.4548272510808786</v>
      </c>
      <c r="M128" s="94">
        <f>SUBTOTAL(7,M124:M126)</f>
        <v>0.41633319989322704</v>
      </c>
      <c r="N128" s="94">
        <f>SUBTOTAL(7,N124:N126)</f>
        <v>4.5951537830714813</v>
      </c>
      <c r="O128" s="91">
        <f>SUBTOTAL(7,O124:O126)</f>
        <v>0.26258021617551353</v>
      </c>
      <c r="P128" s="94">
        <f>SUBTOTAL(7,P124:P126)</f>
        <v>3.6089744725244826</v>
      </c>
      <c r="Q128" s="94">
        <f>SUBTOTAL(7,Q124:Q126)</f>
        <v>8.815417408343972</v>
      </c>
      <c r="R128" s="94">
        <f>SUBTOTAL(7,R124:R126)</f>
        <v>0.73420269238598634</v>
      </c>
      <c r="S128" s="94">
        <f>SUBTOTAL(7,S124:S126)</f>
        <v>2.118933677205936</v>
      </c>
      <c r="T128" s="94">
        <f>SUBTOTAL(7,T124:T126)</f>
        <v>8.2850306778752159E-2</v>
      </c>
      <c r="U128" s="94">
        <f>SUBTOTAL(7,U124:U126)</f>
        <v>0.49899320970663985</v>
      </c>
      <c r="V128" s="6">
        <f>SUBTOTAL(7,V124:V126)</f>
        <v>1</v>
      </c>
      <c r="W128" s="94">
        <f>SUBTOTAL(7,W124:W126)</f>
        <v>1.2220201853215562</v>
      </c>
      <c r="X128" s="94">
        <f>SUBTOTAL(7,X124:X126)</f>
        <v>0.69282032302755248</v>
      </c>
      <c r="Y128" s="94">
        <f>SUBTOTAL(7,Y124:Y126)</f>
        <v>0.10057779303058083</v>
      </c>
      <c r="Z128" s="94">
        <f>SUBTOTAL(7,Z124:Z126)</f>
        <v>3.4571872406564431E-2</v>
      </c>
      <c r="AA128" s="94">
        <f>SUBTOTAL(7,AA124:AA126)</f>
        <v>6.4515769744653628</v>
      </c>
      <c r="AB128" s="94">
        <f>SUBTOTAL(7,AB124:AB126)</f>
        <v>9.3689223513774742</v>
      </c>
      <c r="AC128" s="94">
        <f>SUBTOTAL(7,AC124:AC126)</f>
        <v>2.423096591596512E-2</v>
      </c>
      <c r="AD128" s="94">
        <f>SUBTOTAL(7,AD124:AD126)</f>
        <v>2.9965964096007878</v>
      </c>
      <c r="AE128" s="91">
        <f>SUBTOTAL(7,AE124:AE126)</f>
        <v>0.12274452194066966</v>
      </c>
    </row>
    <row r="129" spans="1:31" outlineLevel="3" x14ac:dyDescent="0.3">
      <c r="A129" s="47">
        <v>33126</v>
      </c>
      <c r="B129" s="80" t="s">
        <v>69</v>
      </c>
      <c r="C129" s="7" t="s">
        <v>43</v>
      </c>
      <c r="D129" s="7" t="s">
        <v>48</v>
      </c>
      <c r="E129" s="7" t="s">
        <v>45</v>
      </c>
      <c r="F129" s="50">
        <v>12</v>
      </c>
      <c r="G129" s="17">
        <v>224.8</v>
      </c>
      <c r="H129" s="6">
        <v>153</v>
      </c>
      <c r="I129" s="56">
        <v>146.92810457516342</v>
      </c>
      <c r="J129" s="19">
        <v>3.31</v>
      </c>
      <c r="K129" s="18">
        <v>5.67</v>
      </c>
      <c r="L129" s="18">
        <v>115.71428571428571</v>
      </c>
      <c r="M129" s="20">
        <v>18.399999999999999</v>
      </c>
      <c r="N129" s="20">
        <v>175.13023759999996</v>
      </c>
      <c r="O129" s="62">
        <v>10.007442148571426</v>
      </c>
      <c r="P129" s="20">
        <v>174.04920000000001</v>
      </c>
      <c r="Q129" s="20">
        <v>60.420999999999999</v>
      </c>
      <c r="R129" s="20">
        <v>96.85407020000001</v>
      </c>
      <c r="S129" s="20">
        <v>41.123273657289005</v>
      </c>
      <c r="T129" s="21">
        <v>1.60792</v>
      </c>
      <c r="U129" s="20">
        <v>92.854200000000006</v>
      </c>
      <c r="V129" s="6">
        <v>12</v>
      </c>
      <c r="W129" s="20">
        <v>42.4</v>
      </c>
      <c r="X129" s="20">
        <v>39.6</v>
      </c>
      <c r="Y129" s="22">
        <v>3.4897119341563791</v>
      </c>
      <c r="Z129" s="22">
        <v>1.976047904191617</v>
      </c>
      <c r="AA129" s="20">
        <v>162.30331920992273</v>
      </c>
      <c r="AB129" s="20">
        <v>157.27507020000002</v>
      </c>
      <c r="AC129" s="18">
        <v>1.0319710492166909</v>
      </c>
      <c r="AD129" s="18">
        <v>-5.0282490099227175</v>
      </c>
      <c r="AE129" s="56">
        <v>1.1776065179921886</v>
      </c>
    </row>
    <row r="130" spans="1:31" outlineLevel="3" x14ac:dyDescent="0.3">
      <c r="A130" s="47">
        <v>33126</v>
      </c>
      <c r="B130" s="80" t="s">
        <v>69</v>
      </c>
      <c r="C130" s="7" t="s">
        <v>43</v>
      </c>
      <c r="D130" s="7" t="s">
        <v>48</v>
      </c>
      <c r="E130" s="7" t="s">
        <v>46</v>
      </c>
      <c r="F130" s="50">
        <v>13</v>
      </c>
      <c r="G130" s="17">
        <v>251.8</v>
      </c>
      <c r="H130" s="6">
        <v>185</v>
      </c>
      <c r="I130" s="56">
        <v>136.10810810810813</v>
      </c>
      <c r="J130" s="19">
        <v>3.41</v>
      </c>
      <c r="K130" s="18">
        <v>5.16</v>
      </c>
      <c r="L130" s="18">
        <v>105.30612244897959</v>
      </c>
      <c r="M130" s="20">
        <v>18</v>
      </c>
      <c r="N130" s="20">
        <v>170.72883999999999</v>
      </c>
      <c r="O130" s="62">
        <v>9.7559337142857139</v>
      </c>
      <c r="P130" s="20">
        <v>169.2517</v>
      </c>
      <c r="Q130" s="20">
        <v>49.510100000000001</v>
      </c>
      <c r="R130" s="20">
        <v>97.139368619999999</v>
      </c>
      <c r="S130" s="20">
        <v>46.00920716112531</v>
      </c>
      <c r="T130" s="21">
        <v>1.7989599999999999</v>
      </c>
      <c r="U130" s="20">
        <v>93.861800000000002</v>
      </c>
      <c r="V130" s="6">
        <v>13</v>
      </c>
      <c r="W130" s="20">
        <v>45.6</v>
      </c>
      <c r="X130" s="20">
        <v>46.4</v>
      </c>
      <c r="Y130" s="22">
        <v>3.7530864197530858</v>
      </c>
      <c r="Z130" s="22">
        <v>2.3153692614770458</v>
      </c>
      <c r="AA130" s="20">
        <v>157.38378529133504</v>
      </c>
      <c r="AB130" s="20">
        <v>146.64946861999999</v>
      </c>
      <c r="AC130" s="18">
        <v>1.0731971058084768</v>
      </c>
      <c r="AD130" s="18">
        <v>-10.734316671335051</v>
      </c>
      <c r="AE130" s="56">
        <v>1.0556514077694892</v>
      </c>
    </row>
    <row r="131" spans="1:31" outlineLevel="3" x14ac:dyDescent="0.3">
      <c r="A131" s="47">
        <v>33126</v>
      </c>
      <c r="B131" s="80" t="s">
        <v>69</v>
      </c>
      <c r="C131" s="7" t="s">
        <v>43</v>
      </c>
      <c r="D131" s="7" t="s">
        <v>48</v>
      </c>
      <c r="E131" s="7" t="s">
        <v>47</v>
      </c>
      <c r="F131" s="50">
        <v>14</v>
      </c>
      <c r="G131" s="17">
        <v>263.60000000000002</v>
      </c>
      <c r="H131" s="6">
        <v>192</v>
      </c>
      <c r="I131" s="56">
        <v>137.29166666666669</v>
      </c>
      <c r="J131" s="19">
        <v>3.33</v>
      </c>
      <c r="K131" s="18">
        <v>5.43</v>
      </c>
      <c r="L131" s="18">
        <v>110.81632653061224</v>
      </c>
      <c r="M131" s="20">
        <v>17.600000000000001</v>
      </c>
      <c r="N131" s="20">
        <v>166.3401896</v>
      </c>
      <c r="O131" s="62">
        <v>9.5051536914285712</v>
      </c>
      <c r="P131" s="20">
        <v>163.9922</v>
      </c>
      <c r="Q131" s="20">
        <v>50.522399999999998</v>
      </c>
      <c r="R131" s="20">
        <v>99.05238288000001</v>
      </c>
      <c r="S131" s="20">
        <v>40.512531969309464</v>
      </c>
      <c r="T131" s="21">
        <v>1.5840399999999999</v>
      </c>
      <c r="U131" s="20">
        <v>95.707800000000006</v>
      </c>
      <c r="V131" s="6">
        <v>14</v>
      </c>
      <c r="W131" s="20">
        <v>41.2</v>
      </c>
      <c r="X131" s="20">
        <v>43.2</v>
      </c>
      <c r="Y131" s="22">
        <v>3.3909465020576133</v>
      </c>
      <c r="Z131" s="22">
        <v>2.1556886227544911</v>
      </c>
      <c r="AA131" s="20">
        <v>156.87549362473379</v>
      </c>
      <c r="AB131" s="20">
        <v>149.57478288000001</v>
      </c>
      <c r="AC131" s="18">
        <v>1.0488097699636372</v>
      </c>
      <c r="AD131" s="18">
        <v>-7.3007107447337773</v>
      </c>
      <c r="AE131" s="56">
        <v>1.2224906475240525</v>
      </c>
    </row>
    <row r="132" spans="1:31" outlineLevel="2" x14ac:dyDescent="0.3">
      <c r="A132" s="47">
        <v>33126</v>
      </c>
      <c r="B132" s="80" t="s">
        <v>69</v>
      </c>
      <c r="C132" s="7"/>
      <c r="D132" s="89" t="s">
        <v>80</v>
      </c>
      <c r="E132" s="7"/>
      <c r="F132" s="50"/>
      <c r="G132" s="17">
        <f>SUBTOTAL(1,G129:G131)</f>
        <v>246.73333333333335</v>
      </c>
      <c r="H132" s="6">
        <f>SUBTOTAL(1,H129:H131)</f>
        <v>176.66666666666666</v>
      </c>
      <c r="I132" s="56">
        <f>SUBTOTAL(1,I129:I131)</f>
        <v>140.10929311664606</v>
      </c>
      <c r="J132" s="19">
        <f>SUBTOTAL(1,J129:J131)</f>
        <v>3.35</v>
      </c>
      <c r="K132" s="18">
        <f>SUBTOTAL(1,K129:K131)</f>
        <v>5.419999999999999</v>
      </c>
      <c r="L132" s="18">
        <f>SUBTOTAL(1,L129:L131)</f>
        <v>110.61224489795917</v>
      </c>
      <c r="M132" s="20">
        <f>SUBTOTAL(1,M129:M131)</f>
        <v>18</v>
      </c>
      <c r="N132" s="20">
        <f>SUBTOTAL(1,N129:N131)</f>
        <v>170.73308906666668</v>
      </c>
      <c r="O132" s="62">
        <f>SUBTOTAL(1,O129:O131)</f>
        <v>9.756176518095236</v>
      </c>
      <c r="P132" s="20">
        <f>SUBTOTAL(1,P129:P131)</f>
        <v>169.0977</v>
      </c>
      <c r="Q132" s="20">
        <f>SUBTOTAL(1,Q129:Q131)</f>
        <v>53.484499999999997</v>
      </c>
      <c r="R132" s="20">
        <f>SUBTOTAL(1,R129:R131)</f>
        <v>97.681940566666682</v>
      </c>
      <c r="S132" s="20">
        <f>SUBTOTAL(1,S129:S131)</f>
        <v>42.548337595907924</v>
      </c>
      <c r="T132" s="21">
        <f>SUBTOTAL(1,T129:T131)</f>
        <v>1.66364</v>
      </c>
      <c r="U132" s="20">
        <f>SUBTOTAL(1,U129:U131)</f>
        <v>94.141266666666681</v>
      </c>
      <c r="V132" s="6">
        <f>SUBTOTAL(1,V129:V131)</f>
        <v>13</v>
      </c>
      <c r="W132" s="20">
        <f>SUBTOTAL(1,W129:W131)</f>
        <v>43.066666666666663</v>
      </c>
      <c r="X132" s="20">
        <f>SUBTOTAL(1,X129:X131)</f>
        <v>43.066666666666663</v>
      </c>
      <c r="Y132" s="22">
        <f>SUBTOTAL(1,Y129:Y131)</f>
        <v>3.5445816186556929</v>
      </c>
      <c r="Z132" s="22">
        <f>SUBTOTAL(1,Z129:Z131)</f>
        <v>2.1490352628077178</v>
      </c>
      <c r="AA132" s="20">
        <f>SUBTOTAL(1,AA129:AA131)</f>
        <v>158.85419937533052</v>
      </c>
      <c r="AB132" s="20">
        <f>SUBTOTAL(1,AB129:AB131)</f>
        <v>151.16644056666667</v>
      </c>
      <c r="AC132" s="18">
        <f>SUBTOTAL(1,AC129:AC131)</f>
        <v>1.0513259749962682</v>
      </c>
      <c r="AD132" s="18">
        <f>SUBTOTAL(1,AD129:AD131)</f>
        <v>-7.6877588086638484</v>
      </c>
      <c r="AE132" s="56">
        <f>SUBTOTAL(1,AE129:AE131)</f>
        <v>1.1519161910952436</v>
      </c>
    </row>
    <row r="133" spans="1:31" outlineLevel="1" x14ac:dyDescent="0.3">
      <c r="A133" s="47">
        <v>33126</v>
      </c>
      <c r="B133" s="80" t="s">
        <v>69</v>
      </c>
      <c r="C133" s="7"/>
      <c r="D133" s="89" t="s">
        <v>77</v>
      </c>
      <c r="E133" s="7"/>
      <c r="F133" s="50"/>
      <c r="G133" s="90">
        <f>SUBTOTAL(7,G129:G131)</f>
        <v>19.890031003830376</v>
      </c>
      <c r="H133" s="6">
        <f>SUBTOTAL(7,H129:H131)</f>
        <v>20.792626898334259</v>
      </c>
      <c r="I133" s="91">
        <f>SUBTOTAL(7,I129:I131)</f>
        <v>5.9348416150298267</v>
      </c>
      <c r="J133" s="92">
        <f>SUBTOTAL(7,J129:J131)</f>
        <v>5.2915026221291864E-2</v>
      </c>
      <c r="K133" s="94">
        <f>SUBTOTAL(7,K129:K131)</f>
        <v>0.25514701644346138</v>
      </c>
      <c r="L133" s="94">
        <f>SUBTOTAL(7,L129:L131)</f>
        <v>5.2070819682339033</v>
      </c>
      <c r="M133" s="94">
        <f>SUBTOTAL(7,M129:M131)</f>
        <v>0.39999999999999858</v>
      </c>
      <c r="N133" s="94">
        <f>SUBTOTAL(7,N129:N131)</f>
        <v>4.3950255404834069</v>
      </c>
      <c r="O133" s="91">
        <f>SUBTOTAL(7,O129:O131)</f>
        <v>0.25114431659905212</v>
      </c>
      <c r="P133" s="94">
        <f>SUBTOTAL(7,P129:P131)</f>
        <v>5.0302683079533725</v>
      </c>
      <c r="Q133" s="94">
        <f>SUBTOTAL(7,Q129:Q131)</f>
        <v>6.0284709512446017</v>
      </c>
      <c r="R133" s="94">
        <f>SUBTOTAL(7,R129:R131)</f>
        <v>1.1953798131742248</v>
      </c>
      <c r="S133" s="94">
        <f>SUBTOTAL(7,S129:S131)</f>
        <v>3.0127172059363616</v>
      </c>
      <c r="T133" s="94">
        <f>SUBTOTAL(7,T129:T131)</f>
        <v>0.11779724275211195</v>
      </c>
      <c r="U133" s="94">
        <f>SUBTOTAL(7,U129:U131)</f>
        <v>1.4471815550694855</v>
      </c>
      <c r="V133" s="6">
        <f>SUBTOTAL(7,V129:V131)</f>
        <v>1</v>
      </c>
      <c r="W133" s="94">
        <f>SUBTOTAL(7,W129:W131)</f>
        <v>2.2744962812309306</v>
      </c>
      <c r="X133" s="94">
        <f>SUBTOTAL(7,X129:X131)</f>
        <v>3.4019602192461513</v>
      </c>
      <c r="Y133" s="94">
        <f>SUBTOTAL(7,Y129:Y131)</f>
        <v>0.18720134001900615</v>
      </c>
      <c r="Z133" s="94">
        <f>SUBTOTAL(7,Z129:Z131)</f>
        <v>0.16975849397435874</v>
      </c>
      <c r="AA133" s="94">
        <f>SUBTOTAL(7,AA129:AA131)</f>
        <v>2.9978176778478565</v>
      </c>
      <c r="AB133" s="94">
        <f>SUBTOTAL(7,AB129:AB131)</f>
        <v>5.4887050274056941</v>
      </c>
      <c r="AC133" s="94">
        <f>SUBTOTAL(7,AC129:AC131)</f>
        <v>2.0727889457249675E-2</v>
      </c>
      <c r="AD133" s="94">
        <f>SUBTOTAL(7,AD129:AD131)</f>
        <v>2.8726567306237487</v>
      </c>
      <c r="AE133" s="91">
        <f>SUBTOTAL(7,AE129:AE131)</f>
        <v>8.6335552656620504E-2</v>
      </c>
    </row>
    <row r="134" spans="1:31" outlineLevel="3" x14ac:dyDescent="0.3">
      <c r="A134" s="47">
        <v>33126</v>
      </c>
      <c r="B134" s="80" t="s">
        <v>69</v>
      </c>
      <c r="C134" s="7" t="s">
        <v>43</v>
      </c>
      <c r="D134" s="7" t="s">
        <v>49</v>
      </c>
      <c r="E134" s="7" t="s">
        <v>45</v>
      </c>
      <c r="F134" s="50">
        <v>15</v>
      </c>
      <c r="G134" s="17">
        <v>251.5</v>
      </c>
      <c r="H134" s="6">
        <v>172</v>
      </c>
      <c r="I134" s="56">
        <v>146.22093023255815</v>
      </c>
      <c r="J134" s="19">
        <v>3.31</v>
      </c>
      <c r="K134" s="18">
        <v>6.09</v>
      </c>
      <c r="L134" s="18">
        <v>124.28571428571428</v>
      </c>
      <c r="M134" s="20">
        <v>17.8</v>
      </c>
      <c r="N134" s="20">
        <v>168.53292139999999</v>
      </c>
      <c r="O134" s="62">
        <v>9.6304526514285715</v>
      </c>
      <c r="P134" s="20">
        <v>168.35849999999999</v>
      </c>
      <c r="Q134" s="20">
        <v>71.612700000000004</v>
      </c>
      <c r="R134" s="20">
        <v>92.647360739999996</v>
      </c>
      <c r="S134" s="20">
        <v>43.159079283887465</v>
      </c>
      <c r="T134" s="21">
        <v>1.6875199999999999</v>
      </c>
      <c r="U134" s="20">
        <v>87.906599999999997</v>
      </c>
      <c r="V134" s="6">
        <v>15</v>
      </c>
      <c r="W134" s="20">
        <v>42</v>
      </c>
      <c r="X134" s="20">
        <v>40.4</v>
      </c>
      <c r="Y134" s="22">
        <v>3.4567901234567899</v>
      </c>
      <c r="Z134" s="22">
        <v>2.0159680638722555</v>
      </c>
      <c r="AA134" s="20">
        <v>172.91755175693081</v>
      </c>
      <c r="AB134" s="20">
        <v>164.26006074</v>
      </c>
      <c r="AC134" s="18">
        <v>1.0527060015558765</v>
      </c>
      <c r="AD134" s="18">
        <v>-8.6574910169308055</v>
      </c>
      <c r="AE134" s="56">
        <v>1.0733241102132123</v>
      </c>
    </row>
    <row r="135" spans="1:31" outlineLevel="3" x14ac:dyDescent="0.3">
      <c r="A135" s="47">
        <v>33126</v>
      </c>
      <c r="B135" s="80" t="s">
        <v>69</v>
      </c>
      <c r="C135" s="7" t="s">
        <v>43</v>
      </c>
      <c r="D135" s="7" t="s">
        <v>49</v>
      </c>
      <c r="E135" s="23" t="s">
        <v>46</v>
      </c>
      <c r="F135" s="52">
        <v>16</v>
      </c>
      <c r="G135" s="25">
        <v>266</v>
      </c>
      <c r="H135" s="24">
        <v>182</v>
      </c>
      <c r="I135" s="57">
        <v>146.15384615384613</v>
      </c>
      <c r="J135" s="27">
        <v>3.46</v>
      </c>
      <c r="K135" s="26">
        <v>5.09</v>
      </c>
      <c r="L135" s="26">
        <v>103.87755102040816</v>
      </c>
      <c r="M135" s="28">
        <v>18.399999999999999</v>
      </c>
      <c r="N135" s="28">
        <v>175.13023759999996</v>
      </c>
      <c r="O135" s="63">
        <v>10.007442148571426</v>
      </c>
      <c r="P135" s="28">
        <v>174.76849999999999</v>
      </c>
      <c r="Q135" s="28">
        <v>52.479700000000001</v>
      </c>
      <c r="R135" s="28">
        <v>97.539556140000002</v>
      </c>
      <c r="S135" s="28">
        <v>50.691560102301793</v>
      </c>
      <c r="T135" s="29">
        <v>1.9820400000000002</v>
      </c>
      <c r="U135" s="28">
        <v>94.065399999999997</v>
      </c>
      <c r="V135" s="24">
        <v>16</v>
      </c>
      <c r="W135" s="28">
        <v>43.2</v>
      </c>
      <c r="X135" s="28">
        <v>42.4</v>
      </c>
      <c r="Y135" s="30">
        <v>3.5555555555555558</v>
      </c>
      <c r="Z135" s="30">
        <v>2.1157684630738527</v>
      </c>
      <c r="AA135" s="28">
        <v>160.24043514133936</v>
      </c>
      <c r="AB135" s="28">
        <v>150.01925614000001</v>
      </c>
      <c r="AC135" s="26">
        <v>1.0681324468893567</v>
      </c>
      <c r="AD135" s="26">
        <v>-10.221179001339351</v>
      </c>
      <c r="AE135" s="57">
        <v>0.96208871795574258</v>
      </c>
    </row>
    <row r="136" spans="1:31" outlineLevel="3" x14ac:dyDescent="0.3">
      <c r="A136" s="47">
        <v>33126</v>
      </c>
      <c r="B136" s="80" t="s">
        <v>69</v>
      </c>
      <c r="C136" s="7" t="s">
        <v>43</v>
      </c>
      <c r="D136" s="7" t="s">
        <v>49</v>
      </c>
      <c r="E136" s="81" t="s">
        <v>47</v>
      </c>
      <c r="F136" s="50">
        <v>17</v>
      </c>
      <c r="G136" s="17">
        <v>193.9</v>
      </c>
      <c r="H136" s="31">
        <v>156</v>
      </c>
      <c r="I136" s="56">
        <v>124.2948717948718</v>
      </c>
      <c r="J136" s="19">
        <v>3.43</v>
      </c>
      <c r="K136" s="85">
        <v>5.13</v>
      </c>
      <c r="L136" s="85">
        <v>104.69387755102041</v>
      </c>
      <c r="M136" s="86">
        <v>17.2</v>
      </c>
      <c r="N136" s="86">
        <v>161.96428639999999</v>
      </c>
      <c r="O136" s="62">
        <v>9.2551020800000003</v>
      </c>
      <c r="P136" s="86">
        <v>161.9751</v>
      </c>
      <c r="Q136" s="86">
        <v>49.15</v>
      </c>
      <c r="R136" s="86">
        <v>105.24493000000001</v>
      </c>
      <c r="S136" s="86">
        <v>52.116624040920712</v>
      </c>
      <c r="T136" s="87">
        <v>2.03776</v>
      </c>
      <c r="U136" s="86">
        <v>101.99120000000001</v>
      </c>
      <c r="V136" s="31">
        <v>17</v>
      </c>
      <c r="W136" s="86">
        <v>45.6</v>
      </c>
      <c r="X136" s="86">
        <v>44.4</v>
      </c>
      <c r="Y136" s="88">
        <v>3.7530864197530858</v>
      </c>
      <c r="Z136" s="88">
        <v>2.2155688622754495</v>
      </c>
      <c r="AA136" s="86">
        <v>162.77915687396967</v>
      </c>
      <c r="AB136" s="86">
        <v>154.39493000000002</v>
      </c>
      <c r="AC136" s="85">
        <v>1.0543037706870921</v>
      </c>
      <c r="AD136" s="85">
        <v>-8.3842268739696522</v>
      </c>
      <c r="AE136" s="56">
        <v>1.0097059425545698</v>
      </c>
    </row>
    <row r="137" spans="1:31" outlineLevel="2" x14ac:dyDescent="0.3">
      <c r="A137" s="47">
        <v>33126</v>
      </c>
      <c r="B137" s="80" t="s">
        <v>69</v>
      </c>
      <c r="C137" s="7"/>
      <c r="D137" s="89" t="s">
        <v>81</v>
      </c>
      <c r="E137" s="81"/>
      <c r="F137" s="50"/>
      <c r="G137" s="17">
        <f>SUBTOTAL(1,G134:G136)</f>
        <v>237.13333333333333</v>
      </c>
      <c r="H137" s="31">
        <f>SUBTOTAL(1,H134:H136)</f>
        <v>170</v>
      </c>
      <c r="I137" s="56">
        <f>SUBTOTAL(1,I134:I136)</f>
        <v>138.88988272709204</v>
      </c>
      <c r="J137" s="19">
        <f>SUBTOTAL(1,J134:J136)</f>
        <v>3.4</v>
      </c>
      <c r="K137" s="85">
        <f>SUBTOTAL(1,K134:K136)</f>
        <v>5.4366666666666665</v>
      </c>
      <c r="L137" s="85">
        <f>SUBTOTAL(1,L134:L136)</f>
        <v>110.95238095238095</v>
      </c>
      <c r="M137" s="86">
        <f>SUBTOTAL(1,M134:M136)</f>
        <v>17.8</v>
      </c>
      <c r="N137" s="86">
        <f>SUBTOTAL(1,N134:N136)</f>
        <v>168.54248179999999</v>
      </c>
      <c r="O137" s="62">
        <f>SUBTOTAL(1,O134:O136)</f>
        <v>9.6309989599999994</v>
      </c>
      <c r="P137" s="86">
        <f>SUBTOTAL(1,P134:P136)</f>
        <v>168.36736666666664</v>
      </c>
      <c r="Q137" s="86">
        <f>SUBTOTAL(1,Q134:Q136)</f>
        <v>57.747466666666668</v>
      </c>
      <c r="R137" s="86">
        <f>SUBTOTAL(1,R134:R136)</f>
        <v>98.477282293333346</v>
      </c>
      <c r="S137" s="86">
        <f>SUBTOTAL(1,S134:S136)</f>
        <v>48.655754475703326</v>
      </c>
      <c r="T137" s="87">
        <f>SUBTOTAL(1,T134:T136)</f>
        <v>1.9024400000000001</v>
      </c>
      <c r="U137" s="86">
        <f>SUBTOTAL(1,U134:U136)</f>
        <v>94.654399999999995</v>
      </c>
      <c r="V137" s="31">
        <f>SUBTOTAL(1,V134:V136)</f>
        <v>16</v>
      </c>
      <c r="W137" s="86">
        <f>SUBTOTAL(1,W134:W136)</f>
        <v>43.6</v>
      </c>
      <c r="X137" s="86">
        <f>SUBTOTAL(1,X134:X136)</f>
        <v>42.4</v>
      </c>
      <c r="Y137" s="88">
        <f>SUBTOTAL(1,Y134:Y136)</f>
        <v>3.5884773662551441</v>
      </c>
      <c r="Z137" s="88">
        <f>SUBTOTAL(1,Z134:Z136)</f>
        <v>2.1157684630738527</v>
      </c>
      <c r="AA137" s="86">
        <f>SUBTOTAL(1,AA134:AA136)</f>
        <v>165.31238125741328</v>
      </c>
      <c r="AB137" s="86">
        <f>SUBTOTAL(1,AB134:AB136)</f>
        <v>156.22474896000003</v>
      </c>
      <c r="AC137" s="85">
        <f>SUBTOTAL(1,AC134:AC136)</f>
        <v>1.058380739710775</v>
      </c>
      <c r="AD137" s="85">
        <f>SUBTOTAL(1,AD134:AD136)</f>
        <v>-9.0876322974132702</v>
      </c>
      <c r="AE137" s="56">
        <f>SUBTOTAL(1,AE134:AE136)</f>
        <v>1.0150395902411748</v>
      </c>
    </row>
    <row r="138" spans="1:31" outlineLevel="1" x14ac:dyDescent="0.3">
      <c r="A138" s="47">
        <v>33126</v>
      </c>
      <c r="B138" s="80" t="s">
        <v>69</v>
      </c>
      <c r="C138" s="7"/>
      <c r="D138" s="89" t="s">
        <v>78</v>
      </c>
      <c r="E138" s="81"/>
      <c r="F138" s="50"/>
      <c r="G138" s="90">
        <f>SUBTOTAL(7,G134:G136)</f>
        <v>38.136640299498531</v>
      </c>
      <c r="H138" s="31">
        <f>SUBTOTAL(7,H134:H136)</f>
        <v>13.114877048604001</v>
      </c>
      <c r="I138" s="91">
        <f>SUBTOTAL(7,I134:I136)</f>
        <v>12.639694741255628</v>
      </c>
      <c r="J138" s="92">
        <f>SUBTOTAL(7,J134:J136)</f>
        <v>7.9372539331937705E-2</v>
      </c>
      <c r="K138" s="93">
        <f>SUBTOTAL(7,K134:K136)</f>
        <v>0.56615663321499055</v>
      </c>
      <c r="L138" s="93">
        <f>SUBTOTAL(7,L134:L136)</f>
        <v>11.554217004387558</v>
      </c>
      <c r="M138" s="93">
        <f>SUBTOTAL(7,M134:M136)</f>
        <v>0.59999999999999964</v>
      </c>
      <c r="N138" s="93">
        <f>SUBTOTAL(7,N134:N136)</f>
        <v>6.5829808066810633</v>
      </c>
      <c r="O138" s="91">
        <f>SUBTOTAL(7,O134:O136)</f>
        <v>0.3761703318103462</v>
      </c>
      <c r="P138" s="93">
        <f>SUBTOTAL(7,P134:P136)</f>
        <v>6.3967046088852086</v>
      </c>
      <c r="Q138" s="93">
        <f>SUBTOTAL(7,Q134:Q136)</f>
        <v>12.122509932490608</v>
      </c>
      <c r="R138" s="93">
        <f>SUBTOTAL(7,R134:R136)</f>
        <v>6.350920056897924</v>
      </c>
      <c r="S138" s="93">
        <f>SUBTOTAL(7,S134:S136)</f>
        <v>4.8132920574728217</v>
      </c>
      <c r="T138" s="93">
        <f>SUBTOTAL(7,T134:T136)</f>
        <v>0.18819971944718739</v>
      </c>
      <c r="U138" s="93">
        <f>SUBTOTAL(7,U134:U136)</f>
        <v>7.0607492548595774</v>
      </c>
      <c r="V138" s="31">
        <f>SUBTOTAL(7,V134:V136)</f>
        <v>1</v>
      </c>
      <c r="W138" s="93">
        <f>SUBTOTAL(7,W134:W136)</f>
        <v>1.8330302779823364</v>
      </c>
      <c r="X138" s="93">
        <f>SUBTOTAL(7,X134:X136)</f>
        <v>2</v>
      </c>
      <c r="Y138" s="93">
        <f>SUBTOTAL(7,Y134:Y136)</f>
        <v>0.15086668954587099</v>
      </c>
      <c r="Z138" s="93">
        <f>SUBTOTAL(7,Z134:Z136)</f>
        <v>9.9800399201597001E-2</v>
      </c>
      <c r="AA138" s="93">
        <f>SUBTOTAL(7,AA134:AA136)</f>
        <v>6.7074764818060384</v>
      </c>
      <c r="AB138" s="93">
        <f>SUBTOTAL(7,AB134:AB136)</f>
        <v>7.2946080760810448</v>
      </c>
      <c r="AC138" s="93">
        <f>SUBTOTAL(7,AC134:AC136)</f>
        <v>8.4829276327083279E-3</v>
      </c>
      <c r="AD138" s="93">
        <f>SUBTOTAL(7,AD134:AD136)</f>
        <v>0.99114298688097269</v>
      </c>
      <c r="AE138" s="91">
        <f>SUBTOTAL(7,AE134:AE136)</f>
        <v>5.5809174612261633E-2</v>
      </c>
    </row>
    <row r="139" spans="1:31" ht="15" outlineLevel="3" thickBot="1" x14ac:dyDescent="0.35">
      <c r="A139" s="82">
        <v>33133</v>
      </c>
      <c r="B139" s="79" t="s">
        <v>70</v>
      </c>
      <c r="C139" s="32" t="s">
        <v>43</v>
      </c>
      <c r="D139" s="32" t="s">
        <v>44</v>
      </c>
      <c r="E139" s="32" t="s">
        <v>45</v>
      </c>
      <c r="F139" s="51">
        <v>9</v>
      </c>
      <c r="G139" s="41">
        <v>258.73</v>
      </c>
      <c r="H139" s="33">
        <v>199</v>
      </c>
      <c r="I139" s="58">
        <v>130.01507537688443</v>
      </c>
      <c r="J139" s="41">
        <v>3.18</v>
      </c>
      <c r="K139" s="40">
        <v>5</v>
      </c>
      <c r="L139" s="40">
        <v>102.04081632653062</v>
      </c>
      <c r="M139" s="42">
        <v>19.399999999999999</v>
      </c>
      <c r="N139" s="42">
        <v>186.1895006</v>
      </c>
      <c r="O139" s="64">
        <v>10.639400034285714</v>
      </c>
      <c r="P139" s="42">
        <v>186.0103</v>
      </c>
      <c r="Q139" s="42">
        <v>46.310400000000001</v>
      </c>
      <c r="R139" s="42">
        <v>81.806948480000003</v>
      </c>
      <c r="S139" s="42">
        <v>26.669053708439897</v>
      </c>
      <c r="T139" s="43">
        <v>1.0427599999999999</v>
      </c>
      <c r="U139" s="42">
        <v>78.741200000000006</v>
      </c>
      <c r="V139" s="33">
        <v>9</v>
      </c>
      <c r="W139" s="42">
        <v>40.799999999999997</v>
      </c>
      <c r="X139" s="42">
        <v>38</v>
      </c>
      <c r="Y139" s="44">
        <v>3.3580246913580245</v>
      </c>
      <c r="Z139" s="44">
        <v>1.8962075848303395</v>
      </c>
      <c r="AA139" s="42">
        <v>133.96410231115888</v>
      </c>
      <c r="AB139" s="42">
        <v>128.11734848</v>
      </c>
      <c r="AC139" s="40">
        <v>1.0456359259735351</v>
      </c>
      <c r="AD139" s="40">
        <v>-5.8467538311588783</v>
      </c>
      <c r="AE139" s="58">
        <v>1.5337429924277879</v>
      </c>
    </row>
    <row r="140" spans="1:31" ht="15" outlineLevel="3" thickTop="1" x14ac:dyDescent="0.3">
      <c r="A140" s="48">
        <v>33133</v>
      </c>
      <c r="B140" s="80" t="s">
        <v>70</v>
      </c>
      <c r="C140" s="7" t="s">
        <v>43</v>
      </c>
      <c r="D140" s="7" t="s">
        <v>44</v>
      </c>
      <c r="E140" s="3" t="s">
        <v>46</v>
      </c>
      <c r="F140" s="49">
        <v>10</v>
      </c>
      <c r="G140" s="15">
        <v>249.11</v>
      </c>
      <c r="H140" s="2">
        <v>181</v>
      </c>
      <c r="I140" s="55">
        <v>137.62983425414365</v>
      </c>
      <c r="J140" s="15">
        <v>3.18</v>
      </c>
      <c r="K140" s="13">
        <v>5.07</v>
      </c>
      <c r="L140" s="13">
        <v>103.46938775510205</v>
      </c>
      <c r="M140" s="4">
        <v>19.2</v>
      </c>
      <c r="N140" s="4">
        <v>183.97127440000003</v>
      </c>
      <c r="O140" s="61">
        <v>10.512644251428574</v>
      </c>
      <c r="P140" s="4">
        <v>186.11269999999999</v>
      </c>
      <c r="Q140" s="4">
        <v>49.945999999999998</v>
      </c>
      <c r="R140" s="4">
        <v>83.439525199999991</v>
      </c>
      <c r="S140" s="4">
        <v>27.890537084398975</v>
      </c>
      <c r="T140" s="16">
        <v>1.0905199999999999</v>
      </c>
      <c r="U140" s="4">
        <v>80.133099999999999</v>
      </c>
      <c r="V140" s="2">
        <v>10</v>
      </c>
      <c r="W140" s="4">
        <v>41.6</v>
      </c>
      <c r="X140" s="4">
        <v>35.6</v>
      </c>
      <c r="Y140" s="5">
        <v>3.4238683127572016</v>
      </c>
      <c r="Z140" s="5">
        <v>1.7764471057884232</v>
      </c>
      <c r="AA140" s="4">
        <v>136.56024025804666</v>
      </c>
      <c r="AB140" s="4">
        <v>133.38552519999999</v>
      </c>
      <c r="AC140" s="13">
        <v>1.0238010462775962</v>
      </c>
      <c r="AD140" s="13">
        <v>-3.1747150580466723</v>
      </c>
      <c r="AE140" s="55">
        <v>1.4958393405531305</v>
      </c>
    </row>
    <row r="141" spans="1:31" outlineLevel="3" x14ac:dyDescent="0.3">
      <c r="A141" s="48">
        <v>33133</v>
      </c>
      <c r="B141" s="80" t="s">
        <v>70</v>
      </c>
      <c r="C141" s="3" t="s">
        <v>43</v>
      </c>
      <c r="D141" s="3" t="s">
        <v>44</v>
      </c>
      <c r="E141" s="7" t="s">
        <v>47</v>
      </c>
      <c r="F141" s="50">
        <v>11</v>
      </c>
      <c r="G141" s="19">
        <v>258.95999999999998</v>
      </c>
      <c r="H141" s="6">
        <v>187</v>
      </c>
      <c r="I141" s="56">
        <v>138.48128342245988</v>
      </c>
      <c r="J141" s="19">
        <v>3.28</v>
      </c>
      <c r="K141" s="18">
        <v>4.5999999999999996</v>
      </c>
      <c r="L141" s="18">
        <v>93.877551020408148</v>
      </c>
      <c r="M141" s="20">
        <v>20.3</v>
      </c>
      <c r="N141" s="20">
        <v>196.21095514999999</v>
      </c>
      <c r="O141" s="62">
        <v>11.21205458</v>
      </c>
      <c r="P141" s="20">
        <v>196.2996</v>
      </c>
      <c r="Q141" s="20">
        <v>35.482900000000001</v>
      </c>
      <c r="R141" s="20">
        <v>87.10416798</v>
      </c>
      <c r="S141" s="20">
        <v>32.776470588235298</v>
      </c>
      <c r="T141" s="21">
        <v>1.2815600000000003</v>
      </c>
      <c r="U141" s="20">
        <v>84.755200000000002</v>
      </c>
      <c r="V141" s="6">
        <v>11</v>
      </c>
      <c r="W141" s="20">
        <v>45.6</v>
      </c>
      <c r="X141" s="20">
        <v>38</v>
      </c>
      <c r="Y141" s="22">
        <v>3.7530864197530858</v>
      </c>
      <c r="Z141" s="22">
        <v>1.8962075848303395</v>
      </c>
      <c r="AA141" s="20">
        <v>132.30331561322686</v>
      </c>
      <c r="AB141" s="20">
        <v>122.58706798</v>
      </c>
      <c r="AC141" s="18">
        <v>1.079259972469625</v>
      </c>
      <c r="AD141" s="18">
        <v>-9.7162476332268568</v>
      </c>
      <c r="AE141" s="56">
        <v>1.3287606386037327</v>
      </c>
    </row>
    <row r="142" spans="1:31" outlineLevel="2" x14ac:dyDescent="0.3">
      <c r="A142" s="48">
        <v>33133</v>
      </c>
      <c r="B142" s="80" t="s">
        <v>70</v>
      </c>
      <c r="C142" s="3"/>
      <c r="D142" s="95" t="s">
        <v>79</v>
      </c>
      <c r="E142" s="7"/>
      <c r="F142" s="50"/>
      <c r="G142" s="19">
        <f>SUBTOTAL(1,G139:G141)</f>
        <v>255.6</v>
      </c>
      <c r="H142" s="6">
        <f>SUBTOTAL(1,H139:H141)</f>
        <v>189</v>
      </c>
      <c r="I142" s="56">
        <f>SUBTOTAL(1,I139:I141)</f>
        <v>135.37539768449599</v>
      </c>
      <c r="J142" s="19">
        <f>SUBTOTAL(1,J139:J141)</f>
        <v>3.2133333333333334</v>
      </c>
      <c r="K142" s="18">
        <f>SUBTOTAL(1,K139:K141)</f>
        <v>4.8899999999999997</v>
      </c>
      <c r="L142" s="18">
        <f>SUBTOTAL(1,L139:L141)</f>
        <v>99.795918367346928</v>
      </c>
      <c r="M142" s="20">
        <f>SUBTOTAL(1,M139:M141)</f>
        <v>19.633333333333329</v>
      </c>
      <c r="N142" s="20">
        <f>SUBTOTAL(1,N139:N141)</f>
        <v>188.79057671666669</v>
      </c>
      <c r="O142" s="62">
        <f>SUBTOTAL(1,O139:O141)</f>
        <v>10.788032955238096</v>
      </c>
      <c r="P142" s="20">
        <f>SUBTOTAL(1,P139:P141)</f>
        <v>189.4742</v>
      </c>
      <c r="Q142" s="20">
        <f>SUBTOTAL(1,Q139:Q141)</f>
        <v>43.913100000000007</v>
      </c>
      <c r="R142" s="20">
        <f>SUBTOTAL(1,R139:R141)</f>
        <v>84.116880553333331</v>
      </c>
      <c r="S142" s="20">
        <f>SUBTOTAL(1,S139:S141)</f>
        <v>29.112020460358057</v>
      </c>
      <c r="T142" s="21">
        <f>SUBTOTAL(1,T139:T141)</f>
        <v>1.1382800000000002</v>
      </c>
      <c r="U142" s="20">
        <f>SUBTOTAL(1,U139:U141)</f>
        <v>81.209833333333336</v>
      </c>
      <c r="V142" s="6">
        <f>SUBTOTAL(1,V139:V141)</f>
        <v>10</v>
      </c>
      <c r="W142" s="20">
        <f>SUBTOTAL(1,W139:W141)</f>
        <v>42.666666666666664</v>
      </c>
      <c r="X142" s="20">
        <f>SUBTOTAL(1,X139:X141)</f>
        <v>37.199999999999996</v>
      </c>
      <c r="Y142" s="22">
        <f>SUBTOTAL(1,Y139:Y141)</f>
        <v>3.5116598079561037</v>
      </c>
      <c r="Z142" s="22">
        <f>SUBTOTAL(1,Z139:Z141)</f>
        <v>1.8562874251497006</v>
      </c>
      <c r="AA142" s="20">
        <f>SUBTOTAL(1,AA139:AA141)</f>
        <v>134.27588606081079</v>
      </c>
      <c r="AB142" s="20">
        <f>SUBTOTAL(1,AB139:AB141)</f>
        <v>128.02998055333333</v>
      </c>
      <c r="AC142" s="18">
        <f>SUBTOTAL(1,AC139:AC141)</f>
        <v>1.049565648240252</v>
      </c>
      <c r="AD142" s="18">
        <f>SUBTOTAL(1,AD139:AD141)</f>
        <v>-6.2459055074774694</v>
      </c>
      <c r="AE142" s="56">
        <f>SUBTOTAL(1,AE139:AE141)</f>
        <v>1.4527809905282172</v>
      </c>
    </row>
    <row r="143" spans="1:31" outlineLevel="1" x14ac:dyDescent="0.3">
      <c r="A143" s="48">
        <v>33133</v>
      </c>
      <c r="B143" s="80" t="s">
        <v>70</v>
      </c>
      <c r="C143" s="3"/>
      <c r="D143" s="95" t="s">
        <v>76</v>
      </c>
      <c r="E143" s="7"/>
      <c r="F143" s="50"/>
      <c r="G143" s="92">
        <f>SUBTOTAL(7,G139:G141)</f>
        <v>5.6216812431869441</v>
      </c>
      <c r="H143" s="6">
        <f>SUBTOTAL(7,H139:H141)</f>
        <v>9.1651513899116797</v>
      </c>
      <c r="I143" s="91">
        <f>SUBTOTAL(7,I139:I141)</f>
        <v>4.6616555913822273</v>
      </c>
      <c r="J143" s="92">
        <f>SUBTOTAL(7,J139:J141)</f>
        <v>5.7735026918962373E-2</v>
      </c>
      <c r="K143" s="94">
        <f>SUBTOTAL(7,K139:K141)</f>
        <v>0.25357444666211965</v>
      </c>
      <c r="L143" s="94">
        <f>SUBTOTAL(7,L139:L141)</f>
        <v>5.1749887073902023</v>
      </c>
      <c r="M143" s="94">
        <f>SUBTOTAL(7,M139:M141)</f>
        <v>0.58594652770823241</v>
      </c>
      <c r="N143" s="94">
        <f>SUBTOTAL(7,N139:N141)</f>
        <v>6.5212455818654949</v>
      </c>
      <c r="O143" s="91">
        <f>SUBTOTAL(7,O139:O141)</f>
        <v>0.37264260467802851</v>
      </c>
      <c r="P143" s="94">
        <f>SUBTOTAL(7,P139:P141)</f>
        <v>5.9111915304784377</v>
      </c>
      <c r="Q143" s="94">
        <f>SUBTOTAL(7,Q139:Q141)</f>
        <v>7.523669375377902</v>
      </c>
      <c r="R143" s="94">
        <f>SUBTOTAL(7,R139:R141)</f>
        <v>2.712792161926906</v>
      </c>
      <c r="S143" s="94">
        <f>SUBTOTAL(7,S139:S141)</f>
        <v>3.2317412433873391</v>
      </c>
      <c r="T143" s="94">
        <f>SUBTOTAL(7,T139:T141)</f>
        <v>0.12636108261644505</v>
      </c>
      <c r="U143" s="94">
        <f>SUBTOTAL(7,U139:U141)</f>
        <v>3.1482638077729965</v>
      </c>
      <c r="V143" s="6">
        <f>SUBTOTAL(7,V139:V141)</f>
        <v>1</v>
      </c>
      <c r="W143" s="94">
        <f>SUBTOTAL(7,W139:W141)</f>
        <v>2.571640202931456</v>
      </c>
      <c r="X143" s="94">
        <f>SUBTOTAL(7,X139:X141)</f>
        <v>1.385640646055101</v>
      </c>
      <c r="Y143" s="94">
        <f>SUBTOTAL(7,Y139:Y141)</f>
        <v>0.21165762987090131</v>
      </c>
      <c r="Z143" s="94">
        <f>SUBTOTAL(7,Z139:Z141)</f>
        <v>6.9143744813128863E-2</v>
      </c>
      <c r="AA143" s="94">
        <f>SUBTOTAL(7,AA139:AA141)</f>
        <v>2.1455206099753066</v>
      </c>
      <c r="AB143" s="94">
        <f>SUBTOTAL(7,AB139:AB141)</f>
        <v>5.3997587398882922</v>
      </c>
      <c r="AC143" s="94">
        <f>SUBTOTAL(7,AC139:AC141)</f>
        <v>2.7937522463765015E-2</v>
      </c>
      <c r="AD143" s="94">
        <f>SUBTOTAL(7,AD139:AD141)</f>
        <v>3.2889821607249288</v>
      </c>
      <c r="AE143" s="91">
        <f>SUBTOTAL(7,AE139:AE141)</f>
        <v>0.10906400632180861</v>
      </c>
    </row>
    <row r="144" spans="1:31" outlineLevel="3" x14ac:dyDescent="0.3">
      <c r="A144" s="48">
        <v>33133</v>
      </c>
      <c r="B144" s="80" t="s">
        <v>70</v>
      </c>
      <c r="C144" s="3" t="s">
        <v>43</v>
      </c>
      <c r="D144" s="7" t="s">
        <v>48</v>
      </c>
      <c r="E144" s="7" t="s">
        <v>45</v>
      </c>
      <c r="F144" s="50">
        <v>12</v>
      </c>
      <c r="G144" s="19">
        <v>222.73</v>
      </c>
      <c r="H144" s="6">
        <v>150</v>
      </c>
      <c r="I144" s="56">
        <v>148.48666666666668</v>
      </c>
      <c r="J144" s="19">
        <v>3.35</v>
      </c>
      <c r="K144" s="18">
        <v>4.72</v>
      </c>
      <c r="L144" s="18">
        <v>96.326530612244881</v>
      </c>
      <c r="M144" s="20">
        <v>19.399999999999999</v>
      </c>
      <c r="N144" s="20">
        <v>186.1895006</v>
      </c>
      <c r="O144" s="62">
        <v>10.639400034285714</v>
      </c>
      <c r="P144" s="20">
        <v>185.10560000000001</v>
      </c>
      <c r="Q144" s="20">
        <v>43.885800000000003</v>
      </c>
      <c r="R144" s="20">
        <v>89.358239960000006</v>
      </c>
      <c r="S144" s="20">
        <v>42.751918158567776</v>
      </c>
      <c r="T144" s="21">
        <v>1.6716000000000002</v>
      </c>
      <c r="U144" s="20">
        <v>86.453000000000003</v>
      </c>
      <c r="V144" s="6">
        <v>12</v>
      </c>
      <c r="W144" s="20">
        <v>46.4</v>
      </c>
      <c r="X144" s="20">
        <v>41.2</v>
      </c>
      <c r="Y144" s="22">
        <v>3.8189300411522633</v>
      </c>
      <c r="Z144" s="22">
        <v>2.0558882235528944</v>
      </c>
      <c r="AA144" s="20">
        <v>144.95326703551783</v>
      </c>
      <c r="AB144" s="20">
        <v>133.24403996000001</v>
      </c>
      <c r="AC144" s="18">
        <v>1.0878780550261982</v>
      </c>
      <c r="AD144" s="18">
        <v>-11.709227075517816</v>
      </c>
      <c r="AE144" s="56">
        <v>1.045078721714525</v>
      </c>
    </row>
    <row r="145" spans="1:31" outlineLevel="3" x14ac:dyDescent="0.3">
      <c r="A145" s="48">
        <v>33133</v>
      </c>
      <c r="B145" s="80" t="s">
        <v>70</v>
      </c>
      <c r="C145" s="3" t="s">
        <v>43</v>
      </c>
      <c r="D145" s="7" t="s">
        <v>48</v>
      </c>
      <c r="E145" s="23" t="s">
        <v>46</v>
      </c>
      <c r="F145" s="52">
        <v>13</v>
      </c>
      <c r="G145" s="27">
        <v>267.76</v>
      </c>
      <c r="H145" s="24">
        <v>190</v>
      </c>
      <c r="I145" s="57">
        <v>140.92631578947368</v>
      </c>
      <c r="J145" s="27">
        <v>3.4</v>
      </c>
      <c r="K145" s="26">
        <v>4.7300000000000004</v>
      </c>
      <c r="L145" s="26">
        <v>96.530612244897966</v>
      </c>
      <c r="M145" s="28">
        <v>19</v>
      </c>
      <c r="N145" s="28">
        <v>181.756235</v>
      </c>
      <c r="O145" s="63">
        <v>10.386070571428572</v>
      </c>
      <c r="P145" s="28">
        <v>179.9572</v>
      </c>
      <c r="Q145" s="28">
        <v>42.7</v>
      </c>
      <c r="R145" s="28">
        <v>94.843739999999997</v>
      </c>
      <c r="S145" s="28">
        <v>48.045012787723785</v>
      </c>
      <c r="T145" s="29">
        <v>1.87856</v>
      </c>
      <c r="U145" s="28">
        <v>92.016999999999996</v>
      </c>
      <c r="V145" s="24">
        <v>13</v>
      </c>
      <c r="W145" s="28">
        <v>48.8</v>
      </c>
      <c r="X145" s="28">
        <v>42.4</v>
      </c>
      <c r="Y145" s="30">
        <v>4.0164609053497937</v>
      </c>
      <c r="Z145" s="30">
        <v>2.1157684630738527</v>
      </c>
      <c r="AA145" s="28">
        <v>150.70785440104541</v>
      </c>
      <c r="AB145" s="28">
        <v>137.54374000000001</v>
      </c>
      <c r="AC145" s="26">
        <v>1.0957085680602068</v>
      </c>
      <c r="AD145" s="26">
        <v>-13.164114401045396</v>
      </c>
      <c r="AE145" s="57">
        <v>0.98703002139936968</v>
      </c>
    </row>
    <row r="146" spans="1:31" outlineLevel="3" x14ac:dyDescent="0.3">
      <c r="A146" s="48">
        <v>33133</v>
      </c>
      <c r="B146" s="80" t="s">
        <v>70</v>
      </c>
      <c r="C146" s="7" t="s">
        <v>43</v>
      </c>
      <c r="D146" s="7" t="s">
        <v>48</v>
      </c>
      <c r="E146" s="7" t="s">
        <v>47</v>
      </c>
      <c r="F146" s="50">
        <v>14</v>
      </c>
      <c r="G146" s="19">
        <v>266.3</v>
      </c>
      <c r="H146" s="6">
        <v>189</v>
      </c>
      <c r="I146" s="56">
        <v>140.89947089947091</v>
      </c>
      <c r="J146" s="19">
        <v>3.36</v>
      </c>
      <c r="K146" s="18">
        <v>4.74</v>
      </c>
      <c r="L146" s="18">
        <v>96.734693877551024</v>
      </c>
      <c r="M146" s="20">
        <v>18.8</v>
      </c>
      <c r="N146" s="20">
        <v>179.54438239999999</v>
      </c>
      <c r="O146" s="62">
        <v>10.259678994285714</v>
      </c>
      <c r="P146" s="20">
        <v>177.77459999999999</v>
      </c>
      <c r="Q146" s="20">
        <v>39.648699999999998</v>
      </c>
      <c r="R146" s="20">
        <v>95.563243940000007</v>
      </c>
      <c r="S146" s="20">
        <v>43.769820971867006</v>
      </c>
      <c r="T146" s="21">
        <v>1.7113999999999998</v>
      </c>
      <c r="U146" s="20">
        <v>92.938500000000005</v>
      </c>
      <c r="V146" s="6">
        <v>14</v>
      </c>
      <c r="W146" s="20">
        <v>44.8</v>
      </c>
      <c r="X146" s="20">
        <v>42.4</v>
      </c>
      <c r="Y146" s="22">
        <v>3.6872427983539096</v>
      </c>
      <c r="Z146" s="22">
        <v>2.1157684630738527</v>
      </c>
      <c r="AA146" s="20">
        <v>146.3075261108458</v>
      </c>
      <c r="AB146" s="20">
        <v>135.21194394</v>
      </c>
      <c r="AC146" s="18">
        <v>1.0820606659998131</v>
      </c>
      <c r="AD146" s="18">
        <v>-11.095582170845802</v>
      </c>
      <c r="AE146" s="56">
        <v>1.0916567833510578</v>
      </c>
    </row>
    <row r="147" spans="1:31" outlineLevel="2" x14ac:dyDescent="0.3">
      <c r="A147" s="48">
        <v>33133</v>
      </c>
      <c r="B147" s="80" t="s">
        <v>70</v>
      </c>
      <c r="C147" s="7"/>
      <c r="D147" s="89" t="s">
        <v>80</v>
      </c>
      <c r="E147" s="7"/>
      <c r="F147" s="50"/>
      <c r="G147" s="19">
        <f>SUBTOTAL(1,G144:G146)</f>
        <v>252.26333333333332</v>
      </c>
      <c r="H147" s="6">
        <f>SUBTOTAL(1,H144:H146)</f>
        <v>176.33333333333334</v>
      </c>
      <c r="I147" s="56">
        <f>SUBTOTAL(1,I144:I146)</f>
        <v>143.43748445187043</v>
      </c>
      <c r="J147" s="19">
        <f>SUBTOTAL(1,J144:J146)</f>
        <v>3.3699999999999997</v>
      </c>
      <c r="K147" s="18">
        <f>SUBTOTAL(1,K144:K146)</f>
        <v>4.7299999999999995</v>
      </c>
      <c r="L147" s="18">
        <f>SUBTOTAL(1,L144:L146)</f>
        <v>96.530612244897952</v>
      </c>
      <c r="M147" s="20">
        <f>SUBTOTAL(1,M144:M146)</f>
        <v>19.066666666666666</v>
      </c>
      <c r="N147" s="20">
        <f>SUBTOTAL(1,N144:N146)</f>
        <v>182.49670600000002</v>
      </c>
      <c r="O147" s="62">
        <f>SUBTOTAL(1,O144:O146)</f>
        <v>10.428383200000001</v>
      </c>
      <c r="P147" s="20">
        <f>SUBTOTAL(1,P144:P146)</f>
        <v>180.94579999999999</v>
      </c>
      <c r="Q147" s="20">
        <f>SUBTOTAL(1,Q144:Q146)</f>
        <v>42.078166666666668</v>
      </c>
      <c r="R147" s="20">
        <f>SUBTOTAL(1,R144:R146)</f>
        <v>93.255074633333336</v>
      </c>
      <c r="S147" s="20">
        <f>SUBTOTAL(1,S144:S146)</f>
        <v>44.855583972719522</v>
      </c>
      <c r="T147" s="21">
        <f>SUBTOTAL(1,T144:T146)</f>
        <v>1.753853333333333</v>
      </c>
      <c r="U147" s="20">
        <f>SUBTOTAL(1,U144:U146)</f>
        <v>90.469499999999996</v>
      </c>
      <c r="V147" s="6">
        <f>SUBTOTAL(1,V144:V146)</f>
        <v>13</v>
      </c>
      <c r="W147" s="20">
        <f>SUBTOTAL(1,W144:W146)</f>
        <v>46.666666666666664</v>
      </c>
      <c r="X147" s="20">
        <f>SUBTOTAL(1,X144:X146)</f>
        <v>42</v>
      </c>
      <c r="Y147" s="22">
        <f>SUBTOTAL(1,Y144:Y146)</f>
        <v>3.8408779149519887</v>
      </c>
      <c r="Z147" s="22">
        <f>SUBTOTAL(1,Z144:Z146)</f>
        <v>2.0958083832335332</v>
      </c>
      <c r="AA147" s="20">
        <f>SUBTOTAL(1,AA144:AA146)</f>
        <v>147.322882515803</v>
      </c>
      <c r="AB147" s="20">
        <f>SUBTOTAL(1,AB144:AB146)</f>
        <v>135.33324130000003</v>
      </c>
      <c r="AC147" s="18">
        <f>SUBTOTAL(1,AC144:AC146)</f>
        <v>1.0885490963620725</v>
      </c>
      <c r="AD147" s="18">
        <f>SUBTOTAL(1,AD144:AD146)</f>
        <v>-11.989641215803005</v>
      </c>
      <c r="AE147" s="56">
        <f>SUBTOTAL(1,AE144:AE146)</f>
        <v>1.0412551754883175</v>
      </c>
    </row>
    <row r="148" spans="1:31" outlineLevel="1" x14ac:dyDescent="0.3">
      <c r="A148" s="48">
        <v>33133</v>
      </c>
      <c r="B148" s="80" t="s">
        <v>70</v>
      </c>
      <c r="C148" s="7"/>
      <c r="D148" s="89" t="s">
        <v>77</v>
      </c>
      <c r="E148" s="7"/>
      <c r="F148" s="50"/>
      <c r="G148" s="92">
        <f>SUBTOTAL(7,G144:G146)</f>
        <v>25.587032523005352</v>
      </c>
      <c r="H148" s="6">
        <f>SUBTOTAL(7,H144:H146)</f>
        <v>22.810816147900884</v>
      </c>
      <c r="I148" s="91">
        <f>SUBTOTAL(7,I144:I146)</f>
        <v>4.3727406669834581</v>
      </c>
      <c r="J148" s="92">
        <f>SUBTOTAL(7,J144:J146)</f>
        <v>2.6457513110645845E-2</v>
      </c>
      <c r="K148" s="94">
        <f>SUBTOTAL(7,K144:K146)</f>
        <v>1.0000000000000231E-2</v>
      </c>
      <c r="L148" s="94">
        <f>SUBTOTAL(7,L144:L146)</f>
        <v>0.20408163265307167</v>
      </c>
      <c r="M148" s="94">
        <f>SUBTOTAL(7,M144:M146)</f>
        <v>0.30550504633038827</v>
      </c>
      <c r="N148" s="94">
        <f>SUBTOTAL(7,N144:N146)</f>
        <v>3.3838767633254019</v>
      </c>
      <c r="O148" s="91">
        <f>SUBTOTAL(7,O144:O146)</f>
        <v>0.19336438647573673</v>
      </c>
      <c r="P148" s="94">
        <f>SUBTOTAL(7,P144:P146)</f>
        <v>3.7641583016658671</v>
      </c>
      <c r="Q148" s="94">
        <f>SUBTOTAL(7,Q144:Q146)</f>
        <v>2.1859235172652647</v>
      </c>
      <c r="R148" s="94">
        <f>SUBTOTAL(7,R144:R146)</f>
        <v>3.3938785825937479</v>
      </c>
      <c r="S148" s="94">
        <f>SUBTOTAL(7,S144:S146)</f>
        <v>2.8086248697209895</v>
      </c>
      <c r="T148" s="94">
        <f>SUBTOTAL(7,T144:T146)</f>
        <v>0.10981723240609065</v>
      </c>
      <c r="U148" s="94">
        <f>SUBTOTAL(7,U144:U146)</f>
        <v>3.5087739667866882</v>
      </c>
      <c r="V148" s="6">
        <f>SUBTOTAL(7,V144:V146)</f>
        <v>1</v>
      </c>
      <c r="W148" s="94">
        <f>SUBTOTAL(7,W144:W146)</f>
        <v>2.0132891827388666</v>
      </c>
      <c r="X148" s="94">
        <f>SUBTOTAL(7,X144:X146)</f>
        <v>0.69282032302754837</v>
      </c>
      <c r="Y148" s="94">
        <f>SUBTOTAL(7,Y144:Y146)</f>
        <v>0.16570281339414508</v>
      </c>
      <c r="Z148" s="94">
        <f>SUBTOTAL(7,Z144:Z146)</f>
        <v>3.4571872406564563E-2</v>
      </c>
      <c r="AA148" s="94">
        <f>SUBTOTAL(7,AA144:AA146)</f>
        <v>3.0086592377150576</v>
      </c>
      <c r="AB148" s="94">
        <f>SUBTOTAL(7,AB144:AB146)</f>
        <v>2.152414898585131</v>
      </c>
      <c r="AC148" s="94">
        <f>SUBTOTAL(7,AC144:AC146)</f>
        <v>6.8486516934622762E-3</v>
      </c>
      <c r="AD148" s="94">
        <f>SUBTOTAL(7,AD144:AD146)</f>
        <v>1.0623937426385461</v>
      </c>
      <c r="AE148" s="91">
        <f>SUBTOTAL(7,AE144:AE146)</f>
        <v>5.2418073776434787E-2</v>
      </c>
    </row>
    <row r="149" spans="1:31" outlineLevel="3" x14ac:dyDescent="0.3">
      <c r="A149" s="48">
        <v>33133</v>
      </c>
      <c r="B149" s="80" t="s">
        <v>70</v>
      </c>
      <c r="C149" s="7" t="s">
        <v>43</v>
      </c>
      <c r="D149" s="7" t="s">
        <v>49</v>
      </c>
      <c r="E149" s="7" t="s">
        <v>45</v>
      </c>
      <c r="F149" s="50">
        <v>15</v>
      </c>
      <c r="G149" s="19">
        <v>260.38</v>
      </c>
      <c r="H149" s="6">
        <v>179</v>
      </c>
      <c r="I149" s="56">
        <v>145.46368715083798</v>
      </c>
      <c r="J149" s="19">
        <v>3.38</v>
      </c>
      <c r="K149" s="18">
        <v>4.87</v>
      </c>
      <c r="L149" s="18">
        <v>99.387755102040813</v>
      </c>
      <c r="M149" s="20">
        <v>19.100000000000001</v>
      </c>
      <c r="N149" s="20">
        <v>182.86335635</v>
      </c>
      <c r="O149" s="62">
        <v>10.449334648571428</v>
      </c>
      <c r="P149" s="20">
        <v>182.25739999999999</v>
      </c>
      <c r="Q149" s="20">
        <v>53.052599999999998</v>
      </c>
      <c r="R149" s="20">
        <v>89.871382120000007</v>
      </c>
      <c r="S149" s="20">
        <v>49.062915601023022</v>
      </c>
      <c r="T149" s="21">
        <v>1.9183600000000001</v>
      </c>
      <c r="U149" s="20">
        <v>86.359300000000005</v>
      </c>
      <c r="V149" s="6">
        <v>15</v>
      </c>
      <c r="W149" s="20">
        <v>47.2</v>
      </c>
      <c r="X149" s="20">
        <v>42</v>
      </c>
      <c r="Y149" s="22">
        <v>3.88477366255144</v>
      </c>
      <c r="Z149" s="22">
        <v>2.0958083832335332</v>
      </c>
      <c r="AA149" s="20">
        <v>154.43125274884883</v>
      </c>
      <c r="AB149" s="20">
        <v>142.92398212000001</v>
      </c>
      <c r="AC149" s="18">
        <v>1.0805132242900093</v>
      </c>
      <c r="AD149" s="18">
        <v>-11.507270628848829</v>
      </c>
      <c r="AE149" s="56">
        <v>0.91587893849225377</v>
      </c>
    </row>
    <row r="150" spans="1:31" outlineLevel="3" x14ac:dyDescent="0.3">
      <c r="A150" s="48">
        <v>33133</v>
      </c>
      <c r="B150" s="80" t="s">
        <v>70</v>
      </c>
      <c r="C150" s="7" t="s">
        <v>43</v>
      </c>
      <c r="D150" s="7" t="s">
        <v>49</v>
      </c>
      <c r="E150" s="7" t="s">
        <v>46</v>
      </c>
      <c r="F150" s="50">
        <v>16</v>
      </c>
      <c r="G150" s="19">
        <v>250.86</v>
      </c>
      <c r="H150" s="6">
        <v>173</v>
      </c>
      <c r="I150" s="56">
        <v>145.00578034682081</v>
      </c>
      <c r="J150" s="19">
        <v>3.52</v>
      </c>
      <c r="K150" s="18">
        <v>4.4800000000000004</v>
      </c>
      <c r="L150" s="18">
        <v>91.428571428571445</v>
      </c>
      <c r="M150" s="20">
        <v>19.899999999999999</v>
      </c>
      <c r="N150" s="20">
        <v>191.74900835</v>
      </c>
      <c r="O150" s="62">
        <v>10.957086191428571</v>
      </c>
      <c r="P150" s="20">
        <v>188.10910000000001</v>
      </c>
      <c r="Q150" s="20">
        <v>44.939399999999999</v>
      </c>
      <c r="R150" s="20">
        <v>93.152988280000002</v>
      </c>
      <c r="S150" s="20">
        <v>54.356010230179031</v>
      </c>
      <c r="T150" s="21">
        <v>2.1253200000000003</v>
      </c>
      <c r="U150" s="20">
        <v>90.177999999999997</v>
      </c>
      <c r="V150" s="6">
        <v>16</v>
      </c>
      <c r="W150" s="20">
        <v>46.8</v>
      </c>
      <c r="X150" s="20">
        <v>40</v>
      </c>
      <c r="Y150" s="22">
        <v>3.8518518518518516</v>
      </c>
      <c r="Z150" s="22">
        <v>1.9960079840319362</v>
      </c>
      <c r="AA150" s="20">
        <v>151.63244149463426</v>
      </c>
      <c r="AB150" s="20">
        <v>138.09238827999999</v>
      </c>
      <c r="AC150" s="18">
        <v>1.098050684641503</v>
      </c>
      <c r="AD150" s="18">
        <v>-13.54005321463427</v>
      </c>
      <c r="AE150" s="56">
        <v>0.85687845636139492</v>
      </c>
    </row>
    <row r="151" spans="1:31" outlineLevel="3" x14ac:dyDescent="0.3">
      <c r="A151" s="48">
        <v>33133</v>
      </c>
      <c r="B151" s="80" t="s">
        <v>70</v>
      </c>
      <c r="C151" s="7" t="s">
        <v>43</v>
      </c>
      <c r="D151" s="7" t="s">
        <v>49</v>
      </c>
      <c r="E151" s="23" t="s">
        <v>47</v>
      </c>
      <c r="F151" s="52">
        <v>17</v>
      </c>
      <c r="G151" s="27">
        <v>214.92</v>
      </c>
      <c r="H151" s="24">
        <v>170</v>
      </c>
      <c r="I151" s="57">
        <v>126.4235294117647</v>
      </c>
      <c r="J151" s="27">
        <v>3.43</v>
      </c>
      <c r="K151" s="26">
        <v>4.72</v>
      </c>
      <c r="L151" s="26">
        <v>96.326530612244881</v>
      </c>
      <c r="M151" s="28">
        <v>18.3</v>
      </c>
      <c r="N151" s="28">
        <v>174.02869314999998</v>
      </c>
      <c r="O151" s="63">
        <v>9.94449675142857</v>
      </c>
      <c r="P151" s="28">
        <v>173.387</v>
      </c>
      <c r="Q151" s="28">
        <v>40.378599999999999</v>
      </c>
      <c r="R151" s="28">
        <v>104.33766331999999</v>
      </c>
      <c r="S151" s="28">
        <v>51.709462915601023</v>
      </c>
      <c r="T151" s="29">
        <v>2.0218400000000001</v>
      </c>
      <c r="U151" s="28">
        <v>101.66459999999999</v>
      </c>
      <c r="V151" s="24">
        <v>17</v>
      </c>
      <c r="W151" s="28">
        <v>48</v>
      </c>
      <c r="X151" s="28">
        <v>43.2</v>
      </c>
      <c r="Y151" s="30">
        <v>3.9506172839506171</v>
      </c>
      <c r="Z151" s="30">
        <v>2.1556886227544911</v>
      </c>
      <c r="AA151" s="28">
        <v>154.14229943455101</v>
      </c>
      <c r="AB151" s="28">
        <v>144.71626332</v>
      </c>
      <c r="AC151" s="26">
        <v>1.0651346013108971</v>
      </c>
      <c r="AD151" s="26">
        <v>-9.4260361145510103</v>
      </c>
      <c r="AE151" s="57">
        <v>1.0088836495004549</v>
      </c>
    </row>
    <row r="152" spans="1:31" outlineLevel="2" x14ac:dyDescent="0.3">
      <c r="A152" s="48">
        <v>33133</v>
      </c>
      <c r="B152" s="80" t="s">
        <v>70</v>
      </c>
      <c r="C152" s="7"/>
      <c r="D152" s="89" t="s">
        <v>81</v>
      </c>
      <c r="E152" s="81"/>
      <c r="F152" s="50"/>
      <c r="G152" s="19">
        <f>SUBTOTAL(1,G149:G151)</f>
        <v>242.05333333333331</v>
      </c>
      <c r="H152" s="31">
        <f>SUBTOTAL(1,H149:H151)</f>
        <v>174</v>
      </c>
      <c r="I152" s="56">
        <f>SUBTOTAL(1,I149:I151)</f>
        <v>138.96433230314116</v>
      </c>
      <c r="J152" s="19">
        <f>SUBTOTAL(1,J149:J151)</f>
        <v>3.4433333333333334</v>
      </c>
      <c r="K152" s="85">
        <f>SUBTOTAL(1,K149:K151)</f>
        <v>4.6900000000000004</v>
      </c>
      <c r="L152" s="85">
        <f>SUBTOTAL(1,L149:L151)</f>
        <v>95.714285714285708</v>
      </c>
      <c r="M152" s="86">
        <f>SUBTOTAL(1,M149:M151)</f>
        <v>19.099999999999998</v>
      </c>
      <c r="N152" s="86">
        <f>SUBTOTAL(1,N149:N151)</f>
        <v>182.88035261666664</v>
      </c>
      <c r="O152" s="62">
        <f>SUBTOTAL(1,O149:O151)</f>
        <v>10.450305863809524</v>
      </c>
      <c r="P152" s="86">
        <f>SUBTOTAL(1,P149:P151)</f>
        <v>181.25116666666668</v>
      </c>
      <c r="Q152" s="86">
        <f>SUBTOTAL(1,Q149:Q151)</f>
        <v>46.123533333333334</v>
      </c>
      <c r="R152" s="86">
        <f>SUBTOTAL(1,R149:R151)</f>
        <v>95.787344573333328</v>
      </c>
      <c r="S152" s="86">
        <f>SUBTOTAL(1,S149:S151)</f>
        <v>51.709462915601023</v>
      </c>
      <c r="T152" s="87">
        <f>SUBTOTAL(1,T149:T151)</f>
        <v>2.0218400000000001</v>
      </c>
      <c r="U152" s="86">
        <f>SUBTOTAL(1,U149:U151)</f>
        <v>92.733966666666674</v>
      </c>
      <c r="V152" s="31">
        <f>SUBTOTAL(1,V149:V151)</f>
        <v>16</v>
      </c>
      <c r="W152" s="86">
        <f>SUBTOTAL(1,W149:W151)</f>
        <v>47.333333333333336</v>
      </c>
      <c r="X152" s="86">
        <f>SUBTOTAL(1,X149:X151)</f>
        <v>41.733333333333334</v>
      </c>
      <c r="Y152" s="88">
        <f>SUBTOTAL(1,Y149:Y151)</f>
        <v>3.8957475994513029</v>
      </c>
      <c r="Z152" s="88">
        <f>SUBTOTAL(1,Z149:Z151)</f>
        <v>2.0825016633399867</v>
      </c>
      <c r="AA152" s="86">
        <f>SUBTOTAL(1,AA149:AA151)</f>
        <v>153.40199789267805</v>
      </c>
      <c r="AB152" s="86">
        <f>SUBTOTAL(1,AB149:AB151)</f>
        <v>141.91087790666668</v>
      </c>
      <c r="AC152" s="85">
        <f>SUBTOTAL(1,AC149:AC151)</f>
        <v>1.0812328367474697</v>
      </c>
      <c r="AD152" s="85">
        <f>SUBTOTAL(1,AD149:AD151)</f>
        <v>-11.49111998601137</v>
      </c>
      <c r="AE152" s="56">
        <f>SUBTOTAL(1,AE149:AE151)</f>
        <v>0.92721368145136795</v>
      </c>
    </row>
    <row r="153" spans="1:31" outlineLevel="1" x14ac:dyDescent="0.3">
      <c r="A153" s="48">
        <v>33133</v>
      </c>
      <c r="B153" s="80" t="s">
        <v>70</v>
      </c>
      <c r="C153" s="7"/>
      <c r="D153" s="89" t="s">
        <v>78</v>
      </c>
      <c r="E153" s="81"/>
      <c r="F153" s="50"/>
      <c r="G153" s="92">
        <f>SUBTOTAL(7,G149:G151)</f>
        <v>23.975423527715492</v>
      </c>
      <c r="H153" s="31">
        <f>SUBTOTAL(7,H149:H151)</f>
        <v>4.5825756949558398</v>
      </c>
      <c r="I153" s="91">
        <f>SUBTOTAL(7,I149:I151)</f>
        <v>10.863066902608972</v>
      </c>
      <c r="J153" s="92">
        <f>SUBTOTAL(7,J149:J151)</f>
        <v>7.094598884597593E-2</v>
      </c>
      <c r="K153" s="93">
        <f>SUBTOTAL(7,K149:K151)</f>
        <v>0.19672315572905982</v>
      </c>
      <c r="L153" s="93">
        <f>SUBTOTAL(7,L149:L151)</f>
        <v>4.0147582801848873</v>
      </c>
      <c r="M153" s="93">
        <f>SUBTOTAL(7,M149:M151)</f>
        <v>0.79999999999999893</v>
      </c>
      <c r="N153" s="93">
        <f>SUBTOTAL(7,N149:N151)</f>
        <v>8.8601698263435296</v>
      </c>
      <c r="O153" s="91">
        <f>SUBTOTAL(7,O149:O151)</f>
        <v>0.50629541864820182</v>
      </c>
      <c r="P153" s="93">
        <f>SUBTOTAL(7,P149:P151)</f>
        <v>7.4124514327807507</v>
      </c>
      <c r="Q153" s="93">
        <f>SUBTOTAL(7,Q149:Q151)</f>
        <v>6.4194390575293649</v>
      </c>
      <c r="R153" s="93">
        <f>SUBTOTAL(7,R149:R151)</f>
        <v>7.5844049041132378</v>
      </c>
      <c r="S153" s="93">
        <f>SUBTOTAL(7,S149:S151)</f>
        <v>2.6465473145780045</v>
      </c>
      <c r="T153" s="93">
        <f>SUBTOTAL(7,T149:T151)</f>
        <v>0.10348000000000013</v>
      </c>
      <c r="U153" s="93">
        <f>SUBTOTAL(7,U149:U151)</f>
        <v>7.966352755391469</v>
      </c>
      <c r="V153" s="31">
        <f>SUBTOTAL(7,V149:V151)</f>
        <v>1</v>
      </c>
      <c r="W153" s="93">
        <f>SUBTOTAL(7,W149:W151)</f>
        <v>0.61101009266077966</v>
      </c>
      <c r="X153" s="93">
        <f>SUBTOTAL(7,X149:X151)</f>
        <v>1.6165807537309536</v>
      </c>
      <c r="Y153" s="93">
        <f>SUBTOTAL(7,Y149:Y151)</f>
        <v>5.0288896515290435E-2</v>
      </c>
      <c r="Z153" s="93">
        <f>SUBTOTAL(7,Z149:Z151)</f>
        <v>8.0667702281983653E-2</v>
      </c>
      <c r="AA153" s="93">
        <f>SUBTOTAL(7,AA149:AA151)</f>
        <v>1.5392760924714439</v>
      </c>
      <c r="AB153" s="93">
        <f>SUBTOTAL(7,AB149:AB151)</f>
        <v>3.4261808543462906</v>
      </c>
      <c r="AC153" s="93">
        <f>SUBTOTAL(7,AC149:AC151)</f>
        <v>1.6469836581567754E-2</v>
      </c>
      <c r="AD153" s="93">
        <f>SUBTOTAL(7,AD149:AD151)</f>
        <v>2.0570561021499678</v>
      </c>
      <c r="AE153" s="91">
        <f>SUBTOTAL(7,AE149:AE151)</f>
        <v>7.6633882739768733E-2</v>
      </c>
    </row>
    <row r="154" spans="1:31" outlineLevel="3" x14ac:dyDescent="0.3">
      <c r="A154" s="48">
        <v>33140</v>
      </c>
      <c r="B154" s="80" t="s">
        <v>71</v>
      </c>
      <c r="C154" s="7" t="s">
        <v>43</v>
      </c>
      <c r="D154" s="7" t="s">
        <v>44</v>
      </c>
      <c r="E154" s="7" t="s">
        <v>45</v>
      </c>
      <c r="F154" s="50">
        <v>9</v>
      </c>
      <c r="G154" s="19">
        <v>248.14</v>
      </c>
      <c r="H154" s="6">
        <v>185</v>
      </c>
      <c r="I154" s="56">
        <v>134.12972972972972</v>
      </c>
      <c r="J154" s="19">
        <v>3.28</v>
      </c>
      <c r="K154" s="18">
        <v>4.07</v>
      </c>
      <c r="L154" s="18">
        <v>83.061224489795933</v>
      </c>
      <c r="M154" s="20">
        <v>19.399999999999999</v>
      </c>
      <c r="N154" s="20">
        <v>186.18950059999997</v>
      </c>
      <c r="O154" s="62">
        <v>10.639400034285712</v>
      </c>
      <c r="P154" s="20">
        <v>182.86840000000001</v>
      </c>
      <c r="Q154" s="20">
        <v>34.837600000000002</v>
      </c>
      <c r="R154" s="20">
        <v>72.18614912000001</v>
      </c>
      <c r="S154" s="20">
        <v>27.279795396419438</v>
      </c>
      <c r="T154" s="21">
        <v>1.06664</v>
      </c>
      <c r="U154" s="20">
        <v>69.879900000000006</v>
      </c>
      <c r="V154" s="6">
        <v>9</v>
      </c>
      <c r="W154" s="20">
        <v>42</v>
      </c>
      <c r="X154" s="20">
        <v>39.6</v>
      </c>
      <c r="Y154" s="22">
        <v>3.4567901234567899</v>
      </c>
      <c r="Z154" s="22">
        <v>1.976047904191617</v>
      </c>
      <c r="AA154" s="20">
        <v>115.77385791386378</v>
      </c>
      <c r="AB154" s="20">
        <v>107.02374912000002</v>
      </c>
      <c r="AC154" s="18">
        <v>1.0817585710256956</v>
      </c>
      <c r="AD154" s="18">
        <v>-8.7501087938637596</v>
      </c>
      <c r="AE154" s="56">
        <v>1.3230698410860273</v>
      </c>
    </row>
    <row r="155" spans="1:31" outlineLevel="3" x14ac:dyDescent="0.3">
      <c r="A155" s="48">
        <v>33140</v>
      </c>
      <c r="B155" s="80" t="s">
        <v>71</v>
      </c>
      <c r="C155" s="7" t="s">
        <v>43</v>
      </c>
      <c r="D155" s="7" t="s">
        <v>44</v>
      </c>
      <c r="E155" s="7" t="s">
        <v>46</v>
      </c>
      <c r="F155" s="50">
        <v>10</v>
      </c>
      <c r="G155" s="19">
        <v>230.52</v>
      </c>
      <c r="H155" s="6">
        <v>166</v>
      </c>
      <c r="I155" s="56">
        <v>138.86746987951807</v>
      </c>
      <c r="J155" s="19">
        <v>3.26</v>
      </c>
      <c r="K155" s="18">
        <v>4.3899999999999997</v>
      </c>
      <c r="L155" s="18">
        <v>89.591836734693871</v>
      </c>
      <c r="M155" s="20">
        <v>19</v>
      </c>
      <c r="N155" s="20">
        <v>181.756235</v>
      </c>
      <c r="O155" s="62">
        <v>10.386070571428572</v>
      </c>
      <c r="P155" s="20">
        <v>181.31059999999999</v>
      </c>
      <c r="Q155" s="20">
        <v>38.279400000000003</v>
      </c>
      <c r="R155" s="20">
        <v>76.550696279999997</v>
      </c>
      <c r="S155" s="20">
        <v>28.094117647058823</v>
      </c>
      <c r="T155" s="21">
        <v>1.0984800000000001</v>
      </c>
      <c r="U155" s="20">
        <v>74.016599999999997</v>
      </c>
      <c r="V155" s="6">
        <v>10</v>
      </c>
      <c r="W155" s="20">
        <v>42.8</v>
      </c>
      <c r="X155" s="20">
        <v>39.200000000000003</v>
      </c>
      <c r="Y155" s="22">
        <v>3.5226337448559675</v>
      </c>
      <c r="Z155" s="22">
        <v>1.9560878243512976</v>
      </c>
      <c r="AA155" s="20">
        <v>123.16467595095996</v>
      </c>
      <c r="AB155" s="20">
        <v>114.83009627999999</v>
      </c>
      <c r="AC155" s="18">
        <v>1.0725818399615119</v>
      </c>
      <c r="AD155" s="18">
        <v>-8.3345796709599682</v>
      </c>
      <c r="AE155" s="56">
        <v>1.3623972327889446</v>
      </c>
    </row>
    <row r="156" spans="1:31" outlineLevel="3" x14ac:dyDescent="0.3">
      <c r="A156" s="48">
        <v>33140</v>
      </c>
      <c r="B156" s="80" t="s">
        <v>71</v>
      </c>
      <c r="C156" s="7" t="s">
        <v>43</v>
      </c>
      <c r="D156" s="7" t="s">
        <v>44</v>
      </c>
      <c r="E156" s="7" t="s">
        <v>47</v>
      </c>
      <c r="F156" s="50">
        <v>11</v>
      </c>
      <c r="G156" s="19">
        <v>263.89999999999998</v>
      </c>
      <c r="H156" s="6">
        <v>185</v>
      </c>
      <c r="I156" s="56">
        <v>142.64864864864862</v>
      </c>
      <c r="J156" s="19">
        <v>3.38</v>
      </c>
      <c r="K156" s="18">
        <v>3.86</v>
      </c>
      <c r="L156" s="18">
        <v>78.775510204081627</v>
      </c>
      <c r="M156" s="20">
        <v>20.3</v>
      </c>
      <c r="N156" s="20">
        <v>196.21095514999999</v>
      </c>
      <c r="O156" s="62">
        <v>11.21205458</v>
      </c>
      <c r="P156" s="20">
        <v>194.114</v>
      </c>
      <c r="Q156" s="20">
        <v>28.841999999999999</v>
      </c>
      <c r="R156" s="20">
        <v>79.826740400000006</v>
      </c>
      <c r="S156" s="20">
        <v>34.608695652173914</v>
      </c>
      <c r="T156" s="21">
        <v>1.3532</v>
      </c>
      <c r="U156" s="20">
        <v>77.917400000000001</v>
      </c>
      <c r="V156" s="6">
        <v>11</v>
      </c>
      <c r="W156" s="20">
        <v>47.2</v>
      </c>
      <c r="X156" s="20">
        <v>42</v>
      </c>
      <c r="Y156" s="22">
        <v>3.88477366255144</v>
      </c>
      <c r="Z156" s="22">
        <v>2.0958083832335332</v>
      </c>
      <c r="AA156" s="20">
        <v>119.3647879020405</v>
      </c>
      <c r="AB156" s="20">
        <v>108.6687404</v>
      </c>
      <c r="AC156" s="18">
        <v>1.0984280066435785</v>
      </c>
      <c r="AD156" s="18">
        <v>-10.6960475020405</v>
      </c>
      <c r="AE156" s="56">
        <v>1.1532757721105529</v>
      </c>
    </row>
    <row r="157" spans="1:31" outlineLevel="2" x14ac:dyDescent="0.3">
      <c r="A157" s="48">
        <v>33140</v>
      </c>
      <c r="B157" s="80" t="s">
        <v>71</v>
      </c>
      <c r="C157" s="7"/>
      <c r="D157" s="89" t="s">
        <v>79</v>
      </c>
      <c r="E157" s="7"/>
      <c r="F157" s="50"/>
      <c r="G157" s="19">
        <f>SUBTOTAL(1,G154:G156)</f>
        <v>247.51999999999998</v>
      </c>
      <c r="H157" s="6">
        <f>SUBTOTAL(1,H154:H156)</f>
        <v>178.66666666666666</v>
      </c>
      <c r="I157" s="56">
        <f>SUBTOTAL(1,I154:I156)</f>
        <v>138.54861608596548</v>
      </c>
      <c r="J157" s="19">
        <f>SUBTOTAL(1,J154:J156)</f>
        <v>3.3066666666666662</v>
      </c>
      <c r="K157" s="18">
        <f>SUBTOTAL(1,K154:K156)</f>
        <v>4.1066666666666665</v>
      </c>
      <c r="L157" s="18">
        <f>SUBTOTAL(1,L154:L156)</f>
        <v>83.80952380952381</v>
      </c>
      <c r="M157" s="20">
        <f>SUBTOTAL(1,M154:M156)</f>
        <v>19.566666666666666</v>
      </c>
      <c r="N157" s="20">
        <f>SUBTOTAL(1,N154:N156)</f>
        <v>188.05223024999998</v>
      </c>
      <c r="O157" s="62">
        <f>SUBTOTAL(1,O154:O156)</f>
        <v>10.745841728571428</v>
      </c>
      <c r="P157" s="20">
        <f>SUBTOTAL(1,P154:P156)</f>
        <v>186.09766666666667</v>
      </c>
      <c r="Q157" s="20">
        <f>SUBTOTAL(1,Q154:Q156)</f>
        <v>33.986333333333334</v>
      </c>
      <c r="R157" s="20">
        <f>SUBTOTAL(1,R154:R156)</f>
        <v>76.187861933333338</v>
      </c>
      <c r="S157" s="20">
        <f>SUBTOTAL(1,S154:S156)</f>
        <v>29.994202898550725</v>
      </c>
      <c r="T157" s="21">
        <f>SUBTOTAL(1,T154:T156)</f>
        <v>1.1727733333333334</v>
      </c>
      <c r="U157" s="20">
        <f>SUBTOTAL(1,U154:U156)</f>
        <v>73.937966666666668</v>
      </c>
      <c r="V157" s="6">
        <f>SUBTOTAL(1,V154:V156)</f>
        <v>10</v>
      </c>
      <c r="W157" s="20">
        <f>SUBTOTAL(1,W154:W156)</f>
        <v>44</v>
      </c>
      <c r="X157" s="20">
        <f>SUBTOTAL(1,X154:X156)</f>
        <v>40.266666666666673</v>
      </c>
      <c r="Y157" s="22">
        <f>SUBTOTAL(1,Y154:Y156)</f>
        <v>3.6213991769547325</v>
      </c>
      <c r="Z157" s="22">
        <f>SUBTOTAL(1,Z154:Z156)</f>
        <v>2.0093147039254826</v>
      </c>
      <c r="AA157" s="20">
        <f>SUBTOTAL(1,AA154:AA156)</f>
        <v>119.43444058895476</v>
      </c>
      <c r="AB157" s="20">
        <f>SUBTOTAL(1,AB154:AB156)</f>
        <v>110.17419526666667</v>
      </c>
      <c r="AC157" s="18">
        <f>SUBTOTAL(1,AC154:AC156)</f>
        <v>1.0842561392102619</v>
      </c>
      <c r="AD157" s="18">
        <f>SUBTOTAL(1,AD154:AD156)</f>
        <v>-9.2602453222880765</v>
      </c>
      <c r="AE157" s="56">
        <f>SUBTOTAL(1,AE154:AE156)</f>
        <v>1.2795809486618417</v>
      </c>
    </row>
    <row r="158" spans="1:31" outlineLevel="1" x14ac:dyDescent="0.3">
      <c r="A158" s="48">
        <v>33140</v>
      </c>
      <c r="B158" s="80" t="s">
        <v>71</v>
      </c>
      <c r="C158" s="7"/>
      <c r="D158" s="89" t="s">
        <v>76</v>
      </c>
      <c r="E158" s="7"/>
      <c r="F158" s="50"/>
      <c r="G158" s="92">
        <f>SUBTOTAL(7,G154:G156)</f>
        <v>16.698634674727138</v>
      </c>
      <c r="H158" s="6">
        <f>SUBTOTAL(7,H154:H156)</f>
        <v>10.969655114602888</v>
      </c>
      <c r="I158" s="91">
        <f>SUBTOTAL(7,I154:I156)</f>
        <v>4.2684008355619261</v>
      </c>
      <c r="J158" s="92">
        <f>SUBTOTAL(7,J154:J156)</f>
        <v>6.4291005073286431E-2</v>
      </c>
      <c r="K158" s="94">
        <f>SUBTOTAL(7,K154:K156)</f>
        <v>0.26689573494781305</v>
      </c>
      <c r="L158" s="94">
        <f>SUBTOTAL(7,L154:L156)</f>
        <v>5.4468517336288382</v>
      </c>
      <c r="M158" s="94">
        <f>SUBTOTAL(7,M154:M156)</f>
        <v>0.66583281184793985</v>
      </c>
      <c r="N158" s="94">
        <f>SUBTOTAL(7,N154:N156)</f>
        <v>7.4052045863328981</v>
      </c>
      <c r="O158" s="91">
        <f>SUBTOTAL(7,O154:O156)</f>
        <v>0.42315454779045159</v>
      </c>
      <c r="P158" s="94">
        <f>SUBTOTAL(7,P154:P156)</f>
        <v>6.9859061898463377</v>
      </c>
      <c r="Q158" s="94">
        <f>SUBTOTAL(7,Q154:Q156)</f>
        <v>4.7759418854644196</v>
      </c>
      <c r="R158" s="94">
        <f>SUBTOTAL(7,R154:R156)</f>
        <v>3.8331964923994906</v>
      </c>
      <c r="S158" s="94">
        <f>SUBTOTAL(7,S154:S156)</f>
        <v>4.0169562745818155</v>
      </c>
      <c r="T158" s="94">
        <f>SUBTOTAL(7,T154:T156)</f>
        <v>0.15706299033614815</v>
      </c>
      <c r="U158" s="94">
        <f>SUBTOTAL(7,U154:U156)</f>
        <v>4.0193269291429017</v>
      </c>
      <c r="V158" s="6">
        <f>SUBTOTAL(7,V154:V156)</f>
        <v>1</v>
      </c>
      <c r="W158" s="94">
        <f>SUBTOTAL(7,W154:W156)</f>
        <v>2.800000000000002</v>
      </c>
      <c r="X158" s="94">
        <f>SUBTOTAL(7,X154:X156)</f>
        <v>1.5143755588800716</v>
      </c>
      <c r="Y158" s="94">
        <f>SUBTOTAL(7,Y154:Y156)</f>
        <v>0.23045267489711913</v>
      </c>
      <c r="Z158" s="94">
        <f>SUBTOTAL(7,Z154:Z156)</f>
        <v>7.5567642658686332E-2</v>
      </c>
      <c r="AA158" s="94">
        <f>SUBTOTAL(7,AA154:AA156)</f>
        <v>3.6959013023838101</v>
      </c>
      <c r="AB158" s="94">
        <f>SUBTOTAL(7,AB154:AB156)</f>
        <v>4.1151621793421063</v>
      </c>
      <c r="AC158" s="94">
        <f>SUBTOTAL(7,AC154:AC156)</f>
        <v>1.3102841988160871E-2</v>
      </c>
      <c r="AD158" s="94">
        <f>SUBTOTAL(7,AD154:AD156)</f>
        <v>1.2606791969139657</v>
      </c>
      <c r="AE158" s="91">
        <f>SUBTOTAL(7,AE154:AE156)</f>
        <v>0.11113689374945585</v>
      </c>
    </row>
    <row r="159" spans="1:31" outlineLevel="3" x14ac:dyDescent="0.3">
      <c r="A159" s="48">
        <v>33140</v>
      </c>
      <c r="B159" s="80" t="s">
        <v>71</v>
      </c>
      <c r="C159" s="7" t="s">
        <v>43</v>
      </c>
      <c r="D159" s="7" t="s">
        <v>48</v>
      </c>
      <c r="E159" s="7" t="s">
        <v>45</v>
      </c>
      <c r="F159" s="50">
        <v>12</v>
      </c>
      <c r="G159" s="19">
        <v>261.25</v>
      </c>
      <c r="H159" s="6">
        <v>175</v>
      </c>
      <c r="I159" s="56">
        <v>149.28571428571428</v>
      </c>
      <c r="J159" s="19">
        <v>3.43</v>
      </c>
      <c r="K159" s="18">
        <v>4.3099999999999996</v>
      </c>
      <c r="L159" s="18">
        <v>87.959183673469369</v>
      </c>
      <c r="M159" s="20">
        <v>19.899999999999999</v>
      </c>
      <c r="N159" s="20">
        <v>191.74900834999997</v>
      </c>
      <c r="O159" s="62">
        <v>10.957086191428569</v>
      </c>
      <c r="P159" s="20">
        <v>189.1575</v>
      </c>
      <c r="Q159" s="20">
        <v>38.339500000000001</v>
      </c>
      <c r="R159" s="20">
        <v>89.9413749</v>
      </c>
      <c r="S159" s="20">
        <v>46.00920716112531</v>
      </c>
      <c r="T159" s="21">
        <v>1.7989599999999999</v>
      </c>
      <c r="U159" s="20">
        <v>87.403300000000002</v>
      </c>
      <c r="V159" s="6">
        <v>12</v>
      </c>
      <c r="W159" s="20">
        <v>48.4</v>
      </c>
      <c r="X159" s="20">
        <v>44</v>
      </c>
      <c r="Y159" s="22">
        <v>3.9835390946502054</v>
      </c>
      <c r="Z159" s="22">
        <v>2.19560878243513</v>
      </c>
      <c r="AA159" s="20">
        <v>140.14753871168003</v>
      </c>
      <c r="AB159" s="20">
        <v>128.28087490000001</v>
      </c>
      <c r="AC159" s="18">
        <v>1.0925053233455926</v>
      </c>
      <c r="AD159" s="18">
        <v>-11.866663811680013</v>
      </c>
      <c r="AE159" s="56">
        <v>0.97742800245419592</v>
      </c>
    </row>
    <row r="160" spans="1:31" outlineLevel="3" x14ac:dyDescent="0.3">
      <c r="A160" s="48">
        <v>33140</v>
      </c>
      <c r="B160" s="80" t="s">
        <v>71</v>
      </c>
      <c r="C160" s="7" t="s">
        <v>43</v>
      </c>
      <c r="D160" s="7" t="s">
        <v>48</v>
      </c>
      <c r="E160" s="7" t="s">
        <v>46</v>
      </c>
      <c r="F160" s="50">
        <v>13</v>
      </c>
      <c r="G160" s="19">
        <v>261.79000000000002</v>
      </c>
      <c r="H160" s="6">
        <v>180</v>
      </c>
      <c r="I160" s="56">
        <v>145.4388888888889</v>
      </c>
      <c r="J160" s="19">
        <v>3.51</v>
      </c>
      <c r="K160" s="18">
        <v>4.08</v>
      </c>
      <c r="L160" s="18">
        <v>83.265306122448976</v>
      </c>
      <c r="M160" s="20">
        <v>19</v>
      </c>
      <c r="N160" s="20">
        <v>181.756235</v>
      </c>
      <c r="O160" s="62">
        <v>10.386070571428572</v>
      </c>
      <c r="P160" s="20">
        <v>177.63800000000001</v>
      </c>
      <c r="Q160" s="20">
        <v>36.985199999999999</v>
      </c>
      <c r="R160" s="20">
        <v>90.15022024000001</v>
      </c>
      <c r="S160" s="20">
        <v>51.302301790281327</v>
      </c>
      <c r="T160" s="21">
        <v>2.0059200000000001</v>
      </c>
      <c r="U160" s="20">
        <v>87.701800000000006</v>
      </c>
      <c r="V160" s="6">
        <v>13</v>
      </c>
      <c r="W160" s="20">
        <v>49.2</v>
      </c>
      <c r="X160" s="20">
        <v>49.2</v>
      </c>
      <c r="Y160" s="22">
        <v>4.0493827160493829</v>
      </c>
      <c r="Z160" s="22">
        <v>2.4550898203592815</v>
      </c>
      <c r="AA160" s="20">
        <v>141.07208044913898</v>
      </c>
      <c r="AB160" s="20">
        <v>127.13542024</v>
      </c>
      <c r="AC160" s="18">
        <v>1.1096205934021379</v>
      </c>
      <c r="AD160" s="18">
        <v>-13.936660209138978</v>
      </c>
      <c r="AE160" s="56">
        <v>0.87861769447036786</v>
      </c>
    </row>
    <row r="161" spans="1:31" outlineLevel="3" x14ac:dyDescent="0.3">
      <c r="A161" s="48">
        <v>33140</v>
      </c>
      <c r="B161" s="80" t="s">
        <v>71</v>
      </c>
      <c r="C161" s="7" t="s">
        <v>43</v>
      </c>
      <c r="D161" s="7" t="s">
        <v>48</v>
      </c>
      <c r="E161" s="7" t="s">
        <v>47</v>
      </c>
      <c r="F161" s="50">
        <v>14</v>
      </c>
      <c r="G161" s="19">
        <v>278.61</v>
      </c>
      <c r="H161" s="6">
        <v>193</v>
      </c>
      <c r="I161" s="56">
        <v>144.35751295336789</v>
      </c>
      <c r="J161" s="19">
        <v>3.44</v>
      </c>
      <c r="K161" s="18">
        <v>4.1399999999999997</v>
      </c>
      <c r="L161" s="18">
        <v>84.489795918367349</v>
      </c>
      <c r="M161" s="20">
        <v>18.8</v>
      </c>
      <c r="N161" s="20">
        <v>179.54438239999999</v>
      </c>
      <c r="O161" s="62">
        <v>10.259678994285714</v>
      </c>
      <c r="P161" s="20">
        <v>176.59039999999999</v>
      </c>
      <c r="Q161" s="20">
        <v>33.824599999999997</v>
      </c>
      <c r="R161" s="20">
        <v>88.047988520000004</v>
      </c>
      <c r="S161" s="20">
        <v>44.176982097186695</v>
      </c>
      <c r="T161" s="21">
        <v>1.72732</v>
      </c>
      <c r="U161" s="20">
        <v>85.808800000000005</v>
      </c>
      <c r="V161" s="6">
        <v>14</v>
      </c>
      <c r="W161" s="20">
        <v>45.6</v>
      </c>
      <c r="X161" s="20">
        <v>47.2</v>
      </c>
      <c r="Y161" s="22">
        <v>3.7530864197530858</v>
      </c>
      <c r="Z161" s="22">
        <v>2.3552894211576847</v>
      </c>
      <c r="AA161" s="20">
        <v>134.77515385646481</v>
      </c>
      <c r="AB161" s="20">
        <v>121.87258851999999</v>
      </c>
      <c r="AC161" s="18">
        <v>1.1058692975438642</v>
      </c>
      <c r="AD161" s="18">
        <v>-12.902565336464818</v>
      </c>
      <c r="AE161" s="56">
        <v>0.99653693326424764</v>
      </c>
    </row>
    <row r="162" spans="1:31" outlineLevel="2" x14ac:dyDescent="0.3">
      <c r="A162" s="48">
        <v>33140</v>
      </c>
      <c r="B162" s="80" t="s">
        <v>71</v>
      </c>
      <c r="C162" s="7"/>
      <c r="D162" s="89" t="s">
        <v>80</v>
      </c>
      <c r="E162" s="7"/>
      <c r="F162" s="50"/>
      <c r="G162" s="19">
        <f>SUBTOTAL(1,G159:G161)</f>
        <v>267.21666666666664</v>
      </c>
      <c r="H162" s="6">
        <f>SUBTOTAL(1,H159:H161)</f>
        <v>182.66666666666666</v>
      </c>
      <c r="I162" s="56">
        <f>SUBTOTAL(1,I159:I161)</f>
        <v>146.36070537599036</v>
      </c>
      <c r="J162" s="19">
        <f>SUBTOTAL(1,J159:J161)</f>
        <v>3.4599999999999995</v>
      </c>
      <c r="K162" s="18">
        <f>SUBTOTAL(1,K159:K161)</f>
        <v>4.1766666666666667</v>
      </c>
      <c r="L162" s="18">
        <f>SUBTOTAL(1,L159:L161)</f>
        <v>85.238095238095227</v>
      </c>
      <c r="M162" s="20">
        <f>SUBTOTAL(1,M159:M161)</f>
        <v>19.233333333333334</v>
      </c>
      <c r="N162" s="20">
        <f>SUBTOTAL(1,N159:N161)</f>
        <v>184.34987525</v>
      </c>
      <c r="O162" s="62">
        <f>SUBTOTAL(1,O159:O161)</f>
        <v>10.534278585714285</v>
      </c>
      <c r="P162" s="20">
        <f>SUBTOTAL(1,P159:P161)</f>
        <v>181.12863333333334</v>
      </c>
      <c r="Q162" s="20">
        <f>SUBTOTAL(1,Q159:Q161)</f>
        <v>36.383100000000006</v>
      </c>
      <c r="R162" s="20">
        <f>SUBTOTAL(1,R159:R161)</f>
        <v>89.379861220000009</v>
      </c>
      <c r="S162" s="20">
        <f>SUBTOTAL(1,S159:S161)</f>
        <v>47.162830349531113</v>
      </c>
      <c r="T162" s="21">
        <f>SUBTOTAL(1,T159:T161)</f>
        <v>1.8440666666666665</v>
      </c>
      <c r="U162" s="20">
        <f>SUBTOTAL(1,U159:U161)</f>
        <v>86.971299999999999</v>
      </c>
      <c r="V162" s="6">
        <f>SUBTOTAL(1,V159:V161)</f>
        <v>13</v>
      </c>
      <c r="W162" s="20">
        <f>SUBTOTAL(1,W159:W161)</f>
        <v>47.733333333333327</v>
      </c>
      <c r="X162" s="20">
        <f>SUBTOTAL(1,X159:X161)</f>
        <v>46.800000000000004</v>
      </c>
      <c r="Y162" s="22">
        <f>SUBTOTAL(1,Y159:Y161)</f>
        <v>3.9286694101508908</v>
      </c>
      <c r="Z162" s="22">
        <f>SUBTOTAL(1,Z159:Z161)</f>
        <v>2.3353293413173657</v>
      </c>
      <c r="AA162" s="20">
        <f>SUBTOTAL(1,AA159:AA161)</f>
        <v>138.6649243390946</v>
      </c>
      <c r="AB162" s="20">
        <f>SUBTOTAL(1,AB159:AB161)</f>
        <v>125.76296122000001</v>
      </c>
      <c r="AC162" s="18">
        <f>SUBTOTAL(1,AC159:AC161)</f>
        <v>1.1026650714305317</v>
      </c>
      <c r="AD162" s="18">
        <f>SUBTOTAL(1,AD159:AD161)</f>
        <v>-12.901963119094603</v>
      </c>
      <c r="AE162" s="56">
        <f>SUBTOTAL(1,AE159:AE161)</f>
        <v>0.95086087672960373</v>
      </c>
    </row>
    <row r="163" spans="1:31" outlineLevel="1" x14ac:dyDescent="0.3">
      <c r="A163" s="48">
        <v>33140</v>
      </c>
      <c r="B163" s="80" t="s">
        <v>71</v>
      </c>
      <c r="C163" s="7"/>
      <c r="D163" s="89" t="s">
        <v>77</v>
      </c>
      <c r="E163" s="7"/>
      <c r="F163" s="50"/>
      <c r="G163" s="92">
        <f>SUBTOTAL(7,G159:G161)</f>
        <v>9.8706095725306326</v>
      </c>
      <c r="H163" s="6">
        <f>SUBTOTAL(7,H159:H161)</f>
        <v>9.2915732431775684</v>
      </c>
      <c r="I163" s="91">
        <f>SUBTOTAL(7,I159:I161)</f>
        <v>2.5901932977973354</v>
      </c>
      <c r="J163" s="92">
        <f>SUBTOTAL(7,J159:J161)</f>
        <v>4.3588989435406567E-2</v>
      </c>
      <c r="K163" s="94">
        <f>SUBTOTAL(7,K159:K161)</f>
        <v>0.11930353445448834</v>
      </c>
      <c r="L163" s="94">
        <f>SUBTOTAL(7,L159:L161)</f>
        <v>2.4347660092752665</v>
      </c>
      <c r="M163" s="94">
        <f>SUBTOTAL(7,M159:M161)</f>
        <v>0.58594652770823052</v>
      </c>
      <c r="N163" s="94">
        <f>SUBTOTAL(7,N159:N161)</f>
        <v>6.5025726412450178</v>
      </c>
      <c r="O163" s="91">
        <f>SUBTOTAL(7,O159:O161)</f>
        <v>0.37157557949971481</v>
      </c>
      <c r="P163" s="94">
        <f>SUBTOTAL(7,P159:P161)</f>
        <v>6.9729040867728393</v>
      </c>
      <c r="Q163" s="94">
        <f>SUBTOTAL(7,Q159:Q161)</f>
        <v>2.3168888212428342</v>
      </c>
      <c r="R163" s="94">
        <f>SUBTOTAL(7,R159:R161)</f>
        <v>1.1581527363711137</v>
      </c>
      <c r="S163" s="94">
        <f>SUBTOTAL(7,S159:S161)</f>
        <v>3.7000918945103534</v>
      </c>
      <c r="T163" s="94">
        <f>SUBTOTAL(7,T159:T161)</f>
        <v>0.14467359307535485</v>
      </c>
      <c r="U163" s="94">
        <f>SUBTOTAL(7,U159:U161)</f>
        <v>1.0177574612843665</v>
      </c>
      <c r="V163" s="6">
        <f>SUBTOTAL(7,V159:V161)</f>
        <v>1</v>
      </c>
      <c r="W163" s="94">
        <f>SUBTOTAL(7,W159:W161)</f>
        <v>1.8903262505010434</v>
      </c>
      <c r="X163" s="94">
        <f>SUBTOTAL(7,X159:X161)</f>
        <v>2.6229754097208016</v>
      </c>
      <c r="Y163" s="94">
        <f>SUBTOTAL(7,Y159:Y161)</f>
        <v>0.15558240744864593</v>
      </c>
      <c r="Z163" s="94">
        <f>SUBTOTAL(7,Z159:Z161)</f>
        <v>0.13088699649305377</v>
      </c>
      <c r="AA163" s="94">
        <f>SUBTOTAL(7,AA159:AA161)</f>
        <v>3.4002103113968443</v>
      </c>
      <c r="AB163" s="94">
        <f>SUBTOTAL(7,AB159:AB161)</f>
        <v>3.4174941701790744</v>
      </c>
      <c r="AC163" s="94">
        <f>SUBTOTAL(7,AC159:AC161)</f>
        <v>8.9963001292832287E-3</v>
      </c>
      <c r="AD163" s="94">
        <f>SUBTOTAL(7,AD159:AD161)</f>
        <v>1.0349983301303409</v>
      </c>
      <c r="AE163" s="91">
        <f>SUBTOTAL(7,AE159:AE161)</f>
        <v>6.3289776792004274E-2</v>
      </c>
    </row>
    <row r="164" spans="1:31" outlineLevel="3" x14ac:dyDescent="0.3">
      <c r="A164" s="48">
        <v>33140</v>
      </c>
      <c r="B164" s="80" t="s">
        <v>71</v>
      </c>
      <c r="C164" s="7" t="s">
        <v>43</v>
      </c>
      <c r="D164" s="7" t="s">
        <v>49</v>
      </c>
      <c r="E164" s="7" t="s">
        <v>45</v>
      </c>
      <c r="F164" s="50">
        <v>15</v>
      </c>
      <c r="G164" s="19">
        <v>257.68</v>
      </c>
      <c r="H164" s="6">
        <v>174</v>
      </c>
      <c r="I164" s="56">
        <v>148.09195402298852</v>
      </c>
      <c r="J164" s="19">
        <v>3.44</v>
      </c>
      <c r="K164" s="18">
        <v>4.4000000000000004</v>
      </c>
      <c r="L164" s="18">
        <v>89.795918367346943</v>
      </c>
      <c r="M164" s="20">
        <v>19.100000000000001</v>
      </c>
      <c r="N164" s="20">
        <v>182.86335635</v>
      </c>
      <c r="O164" s="62">
        <v>10.449334648571428</v>
      </c>
      <c r="P164" s="20">
        <v>181.48169999999999</v>
      </c>
      <c r="Q164" s="20">
        <v>46.154699999999998</v>
      </c>
      <c r="R164" s="20">
        <v>83.659941140000001</v>
      </c>
      <c r="S164" s="20">
        <v>47.027109974424548</v>
      </c>
      <c r="T164" s="21">
        <v>1.83876</v>
      </c>
      <c r="U164" s="20">
        <v>80.604500000000002</v>
      </c>
      <c r="V164" s="6">
        <v>15</v>
      </c>
      <c r="W164" s="20">
        <v>47.6</v>
      </c>
      <c r="X164" s="20">
        <v>44.4</v>
      </c>
      <c r="Y164" s="22">
        <v>3.9176954732510283</v>
      </c>
      <c r="Z164" s="22">
        <v>2.2155688622754495</v>
      </c>
      <c r="AA164" s="20">
        <v>142.95629267729797</v>
      </c>
      <c r="AB164" s="20">
        <v>129.81464113999999</v>
      </c>
      <c r="AC164" s="18">
        <v>1.1012339703895588</v>
      </c>
      <c r="AD164" s="18">
        <v>-13.141651537297975</v>
      </c>
      <c r="AE164" s="56">
        <v>0.88948631103950504</v>
      </c>
    </row>
    <row r="165" spans="1:31" outlineLevel="3" x14ac:dyDescent="0.3">
      <c r="A165" s="48">
        <v>33140</v>
      </c>
      <c r="B165" s="80" t="s">
        <v>71</v>
      </c>
      <c r="C165" s="7" t="s">
        <v>43</v>
      </c>
      <c r="D165" s="7" t="s">
        <v>49</v>
      </c>
      <c r="E165" s="7" t="s">
        <v>46</v>
      </c>
      <c r="F165" s="50">
        <v>16</v>
      </c>
      <c r="G165" s="19">
        <v>280.37</v>
      </c>
      <c r="H165" s="6">
        <v>184</v>
      </c>
      <c r="I165" s="56">
        <v>152.375</v>
      </c>
      <c r="J165" s="19">
        <v>3.59</v>
      </c>
      <c r="K165" s="18">
        <v>4.07</v>
      </c>
      <c r="L165" s="18">
        <v>83.061224489795933</v>
      </c>
      <c r="M165" s="20">
        <v>19.899999999999999</v>
      </c>
      <c r="N165" s="20">
        <v>191.74900834999997</v>
      </c>
      <c r="O165" s="62">
        <v>10.957086191428569</v>
      </c>
      <c r="P165" s="20">
        <v>186.2002</v>
      </c>
      <c r="Q165" s="20">
        <v>39.488399999999999</v>
      </c>
      <c r="R165" s="20">
        <v>89.548532080000001</v>
      </c>
      <c r="S165" s="20">
        <v>55.577493606138106</v>
      </c>
      <c r="T165" s="21">
        <v>2.1730800000000001</v>
      </c>
      <c r="U165" s="20">
        <v>86.934399999999997</v>
      </c>
      <c r="V165" s="6">
        <v>16</v>
      </c>
      <c r="W165" s="20">
        <v>48.4</v>
      </c>
      <c r="X165" s="20">
        <v>46.8</v>
      </c>
      <c r="Y165" s="22">
        <v>3.9835390946502054</v>
      </c>
      <c r="Z165" s="22">
        <v>2.3353293413173652</v>
      </c>
      <c r="AA165" s="20">
        <v>144.95758653190163</v>
      </c>
      <c r="AB165" s="20">
        <v>129.03693207999999</v>
      </c>
      <c r="AC165" s="18">
        <v>1.1233806027101698</v>
      </c>
      <c r="AD165" s="18">
        <v>-15.92065445190164</v>
      </c>
      <c r="AE165" s="56">
        <v>0.80561866206674404</v>
      </c>
    </row>
    <row r="166" spans="1:31" outlineLevel="3" x14ac:dyDescent="0.3">
      <c r="A166" s="48">
        <v>33140</v>
      </c>
      <c r="B166" s="80" t="s">
        <v>71</v>
      </c>
      <c r="C166" s="7" t="s">
        <v>43</v>
      </c>
      <c r="D166" s="7" t="s">
        <v>49</v>
      </c>
      <c r="E166" s="23" t="s">
        <v>47</v>
      </c>
      <c r="F166" s="52">
        <v>17</v>
      </c>
      <c r="G166" s="27">
        <v>213.17</v>
      </c>
      <c r="H166" s="24">
        <v>159</v>
      </c>
      <c r="I166" s="57">
        <v>134.06918238993711</v>
      </c>
      <c r="J166" s="27">
        <v>3.59</v>
      </c>
      <c r="K166" s="26">
        <v>3.92</v>
      </c>
      <c r="L166" s="26">
        <v>80</v>
      </c>
      <c r="M166" s="28">
        <v>18.7</v>
      </c>
      <c r="N166" s="28">
        <v>178.43965114999997</v>
      </c>
      <c r="O166" s="63">
        <v>10.196551494285712</v>
      </c>
      <c r="P166" s="28">
        <v>171.9821</v>
      </c>
      <c r="Q166" s="28">
        <v>34.337299999999999</v>
      </c>
      <c r="R166" s="28">
        <v>90.685329260000003</v>
      </c>
      <c r="S166" s="28">
        <v>54.763171355498713</v>
      </c>
      <c r="T166" s="29">
        <v>2.1412399999999998</v>
      </c>
      <c r="U166" s="28">
        <v>88.412199999999999</v>
      </c>
      <c r="V166" s="24">
        <v>17</v>
      </c>
      <c r="W166" s="28">
        <v>50.4</v>
      </c>
      <c r="X166" s="28">
        <v>49.6</v>
      </c>
      <c r="Y166" s="30">
        <v>4.1481481481481479</v>
      </c>
      <c r="Z166" s="30">
        <v>2.4750499001996009</v>
      </c>
      <c r="AA166" s="28">
        <v>141.38636940384646</v>
      </c>
      <c r="AB166" s="28">
        <v>125.02262926</v>
      </c>
      <c r="AC166" s="26">
        <v>1.1308862262832118</v>
      </c>
      <c r="AD166" s="26">
        <v>-16.363740143846456</v>
      </c>
      <c r="AE166" s="57">
        <v>0.82797733417692565</v>
      </c>
    </row>
    <row r="167" spans="1:31" outlineLevel="2" x14ac:dyDescent="0.3">
      <c r="A167" s="48">
        <v>33140</v>
      </c>
      <c r="B167" s="80" t="s">
        <v>71</v>
      </c>
      <c r="C167" s="7"/>
      <c r="D167" s="89" t="s">
        <v>81</v>
      </c>
      <c r="E167" s="81"/>
      <c r="F167" s="50"/>
      <c r="G167" s="19">
        <f>SUBTOTAL(1,G164:G166)</f>
        <v>250.40666666666664</v>
      </c>
      <c r="H167" s="31">
        <f>SUBTOTAL(1,H164:H166)</f>
        <v>172.33333333333334</v>
      </c>
      <c r="I167" s="56">
        <f>SUBTOTAL(1,I164:I166)</f>
        <v>144.84537880430852</v>
      </c>
      <c r="J167" s="19">
        <f>SUBTOTAL(1,J164:J166)</f>
        <v>3.5399999999999996</v>
      </c>
      <c r="K167" s="85">
        <f>SUBTOTAL(1,K164:K166)</f>
        <v>4.13</v>
      </c>
      <c r="L167" s="85">
        <f>SUBTOTAL(1,L164:L166)</f>
        <v>84.285714285714292</v>
      </c>
      <c r="M167" s="86">
        <f>SUBTOTAL(1,M164:M166)</f>
        <v>19.233333333333334</v>
      </c>
      <c r="N167" s="86">
        <f>SUBTOTAL(1,N164:N166)</f>
        <v>184.35067194999996</v>
      </c>
      <c r="O167" s="62">
        <f>SUBTOTAL(1,O164:O166)</f>
        <v>10.534324111428569</v>
      </c>
      <c r="P167" s="86">
        <f>SUBTOTAL(1,P164:P166)</f>
        <v>179.88800000000001</v>
      </c>
      <c r="Q167" s="86">
        <f>SUBTOTAL(1,Q164:Q166)</f>
        <v>39.99346666666667</v>
      </c>
      <c r="R167" s="86">
        <f>SUBTOTAL(1,R164:R166)</f>
        <v>87.964600826666654</v>
      </c>
      <c r="S167" s="86">
        <f>SUBTOTAL(1,S164:S166)</f>
        <v>52.455924978687129</v>
      </c>
      <c r="T167" s="87">
        <f>SUBTOTAL(1,T164:T166)</f>
        <v>2.0510266666666666</v>
      </c>
      <c r="U167" s="86">
        <f>SUBTOTAL(1,U164:U166)</f>
        <v>85.317033333333328</v>
      </c>
      <c r="V167" s="31">
        <f>SUBTOTAL(1,V164:V166)</f>
        <v>16</v>
      </c>
      <c r="W167" s="86">
        <f>SUBTOTAL(1,W164:W166)</f>
        <v>48.800000000000004</v>
      </c>
      <c r="X167" s="86">
        <f>SUBTOTAL(1,X164:X166)</f>
        <v>46.93333333333333</v>
      </c>
      <c r="Y167" s="88">
        <f>SUBTOTAL(1,Y164:Y166)</f>
        <v>4.0164609053497946</v>
      </c>
      <c r="Z167" s="88">
        <f>SUBTOTAL(1,Z164:Z166)</f>
        <v>2.3419827012641385</v>
      </c>
      <c r="AA167" s="86">
        <f>SUBTOTAL(1,AA164:AA166)</f>
        <v>143.10008287101536</v>
      </c>
      <c r="AB167" s="86">
        <f>SUBTOTAL(1,AB164:AB166)</f>
        <v>127.95806749333333</v>
      </c>
      <c r="AC167" s="85">
        <f>SUBTOTAL(1,AC164:AC166)</f>
        <v>1.1185002664609802</v>
      </c>
      <c r="AD167" s="85">
        <f>SUBTOTAL(1,AD164:AD166)</f>
        <v>-15.142015377682023</v>
      </c>
      <c r="AE167" s="56">
        <f>SUBTOTAL(1,AE164:AE166)</f>
        <v>0.84102743576105821</v>
      </c>
    </row>
    <row r="168" spans="1:31" outlineLevel="1" x14ac:dyDescent="0.3">
      <c r="A168" s="48">
        <v>33140</v>
      </c>
      <c r="B168" s="80" t="s">
        <v>71</v>
      </c>
      <c r="C168" s="7"/>
      <c r="D168" s="89" t="s">
        <v>78</v>
      </c>
      <c r="E168" s="81"/>
      <c r="F168" s="50"/>
      <c r="G168" s="92">
        <f>SUBTOTAL(7,G164:G166)</f>
        <v>34.185318973696262</v>
      </c>
      <c r="H168" s="31">
        <f>SUBTOTAL(7,H164:H166)</f>
        <v>12.583057392117915</v>
      </c>
      <c r="I168" s="91">
        <f>SUBTOTAL(7,I164:I166)</f>
        <v>9.5750158005682859</v>
      </c>
      <c r="J168" s="92">
        <f>SUBTOTAL(7,J164:J166)</f>
        <v>8.660254037844381E-2</v>
      </c>
      <c r="K168" s="93">
        <f>SUBTOTAL(7,K164:K166)</f>
        <v>0.24556058315617368</v>
      </c>
      <c r="L168" s="93">
        <f>SUBTOTAL(7,L164:L166)</f>
        <v>5.0114404725749697</v>
      </c>
      <c r="M168" s="93">
        <f>SUBTOTAL(7,M164:M166)</f>
        <v>0.6110100926607781</v>
      </c>
      <c r="N168" s="93">
        <f>SUBTOTAL(7,N164:N166)</f>
        <v>6.7781876663161515</v>
      </c>
      <c r="O168" s="91">
        <f>SUBTOTAL(7,O164:O166)</f>
        <v>0.38732500950378018</v>
      </c>
      <c r="P168" s="93">
        <f>SUBTOTAL(7,P164:P166)</f>
        <v>7.2417885684408052</v>
      </c>
      <c r="Q168" s="93">
        <f>SUBTOTAL(7,Q164:Q166)</f>
        <v>5.9248675042850376</v>
      </c>
      <c r="R168" s="93">
        <f>SUBTOTAL(7,R164:R166)</f>
        <v>3.771027475453324</v>
      </c>
      <c r="S168" s="93">
        <f>SUBTOTAL(7,S164:S166)</f>
        <v>4.7190893660590332</v>
      </c>
      <c r="T168" s="93">
        <f>SUBTOTAL(7,T164:T166)</f>
        <v>0.18451639421290819</v>
      </c>
      <c r="U168" s="93">
        <f>SUBTOTAL(7,U164:U166)</f>
        <v>4.1475234807452646</v>
      </c>
      <c r="V168" s="31">
        <f>SUBTOTAL(7,V164:V166)</f>
        <v>1</v>
      </c>
      <c r="W168" s="93">
        <f>SUBTOTAL(7,W164:W166)</f>
        <v>1.4422205101855945</v>
      </c>
      <c r="X168" s="93">
        <f>SUBTOTAL(7,X164:X166)</f>
        <v>2.6025628394590861</v>
      </c>
      <c r="Y168" s="93">
        <f>SUBTOTAL(7,Y164:Y166)</f>
        <v>0.11870127655848538</v>
      </c>
      <c r="Z168" s="93">
        <f>SUBTOTAL(7,Z164:Z166)</f>
        <v>0.12986840516262885</v>
      </c>
      <c r="AA168" s="93">
        <f>SUBTOTAL(7,AA164:AA166)</f>
        <v>1.7899454345833035</v>
      </c>
      <c r="AB168" s="93">
        <f>SUBTOTAL(7,AB164:AB166)</f>
        <v>2.5717321131462789</v>
      </c>
      <c r="AC168" s="93">
        <f>SUBTOTAL(7,AC164:AC166)</f>
        <v>1.5416787321765031E-2</v>
      </c>
      <c r="AD168" s="93">
        <f>SUBTOTAL(7,AD164:AD166)</f>
        <v>1.7464744066371458</v>
      </c>
      <c r="AE168" s="91">
        <f>SUBTOTAL(7,AE164:AE166)</f>
        <v>4.3430110517608631E-2</v>
      </c>
    </row>
    <row r="169" spans="1:31" outlineLevel="3" x14ac:dyDescent="0.3">
      <c r="A169" s="48">
        <v>33147</v>
      </c>
      <c r="B169" s="80" t="s">
        <v>72</v>
      </c>
      <c r="C169" s="7" t="s">
        <v>43</v>
      </c>
      <c r="D169" s="7" t="s">
        <v>44</v>
      </c>
      <c r="E169" s="7" t="s">
        <v>45</v>
      </c>
      <c r="F169" s="50">
        <v>9</v>
      </c>
      <c r="G169" s="17">
        <v>284.41000000000003</v>
      </c>
      <c r="H169" s="6">
        <v>202</v>
      </c>
      <c r="I169" s="56">
        <v>140.79702970297029</v>
      </c>
      <c r="J169" s="19">
        <v>3.32</v>
      </c>
      <c r="K169" s="18">
        <v>4.13</v>
      </c>
      <c r="L169" s="18">
        <v>84.285714285714278</v>
      </c>
      <c r="M169" s="20">
        <v>19.600000000000001</v>
      </c>
      <c r="N169" s="20">
        <v>188.41091359999996</v>
      </c>
      <c r="O169" s="62">
        <v>10.766337919999998</v>
      </c>
      <c r="P169" s="20">
        <v>185.5975</v>
      </c>
      <c r="Q169" s="20">
        <v>33.543799999999997</v>
      </c>
      <c r="R169" s="20">
        <v>74.862599559999992</v>
      </c>
      <c r="S169" s="20">
        <v>27.890537084398975</v>
      </c>
      <c r="T169" s="21">
        <v>1.0905199999999999</v>
      </c>
      <c r="U169" s="20">
        <v>72.641999999999996</v>
      </c>
      <c r="V169" s="6">
        <v>9</v>
      </c>
      <c r="W169" s="20">
        <v>43.2</v>
      </c>
      <c r="X169" s="20">
        <v>41.6</v>
      </c>
      <c r="Y169" s="22">
        <v>3.5555555555555558</v>
      </c>
      <c r="Z169" s="22">
        <v>2.0758483033932138</v>
      </c>
      <c r="AA169" s="20">
        <v>117.80765522906202</v>
      </c>
      <c r="AB169" s="20">
        <v>108.40639955999998</v>
      </c>
      <c r="AC169" s="18">
        <v>1.0867223310359893</v>
      </c>
      <c r="AD169" s="18">
        <v>-9.4012556690620386</v>
      </c>
      <c r="AE169" s="56">
        <v>1.3420788444026703</v>
      </c>
    </row>
    <row r="170" spans="1:31" outlineLevel="3" x14ac:dyDescent="0.3">
      <c r="A170" s="48">
        <v>33147</v>
      </c>
      <c r="B170" s="80" t="s">
        <v>72</v>
      </c>
      <c r="C170" s="7" t="s">
        <v>43</v>
      </c>
      <c r="D170" s="7" t="s">
        <v>44</v>
      </c>
      <c r="E170" s="7" t="s">
        <v>46</v>
      </c>
      <c r="F170" s="50">
        <v>10</v>
      </c>
      <c r="G170" s="17">
        <v>282.48</v>
      </c>
      <c r="H170" s="6">
        <v>189</v>
      </c>
      <c r="I170" s="56">
        <v>149.46031746031747</v>
      </c>
      <c r="J170" s="19">
        <v>3.3</v>
      </c>
      <c r="K170" s="18">
        <v>4.46</v>
      </c>
      <c r="L170" s="18">
        <v>91.020408163265301</v>
      </c>
      <c r="M170" s="20">
        <v>19.3</v>
      </c>
      <c r="N170" s="20">
        <v>185.07998914999999</v>
      </c>
      <c r="O170" s="62">
        <v>10.575999379999999</v>
      </c>
      <c r="P170" s="20">
        <v>183.6156</v>
      </c>
      <c r="Q170" s="20">
        <v>37.260199999999998</v>
      </c>
      <c r="R170" s="20">
        <v>77.942925239999994</v>
      </c>
      <c r="S170" s="20">
        <v>28.297698209718664</v>
      </c>
      <c r="T170" s="21">
        <v>1.1064399999999999</v>
      </c>
      <c r="U170" s="20">
        <v>75.476299999999995</v>
      </c>
      <c r="V170" s="6">
        <v>10</v>
      </c>
      <c r="W170" s="20">
        <v>45.2</v>
      </c>
      <c r="X170" s="20">
        <v>40.4</v>
      </c>
      <c r="Y170" s="22">
        <v>3.7201646090534974</v>
      </c>
      <c r="Z170" s="22">
        <v>2.0159680638722555</v>
      </c>
      <c r="AA170" s="20">
        <v>125.05423904590971</v>
      </c>
      <c r="AB170" s="20">
        <v>115.20312523999999</v>
      </c>
      <c r="AC170" s="18">
        <v>1.0855108208686797</v>
      </c>
      <c r="AD170" s="18">
        <v>-9.8511138059097192</v>
      </c>
      <c r="AE170" s="56">
        <v>1.3771954994776041</v>
      </c>
    </row>
    <row r="171" spans="1:31" outlineLevel="3" x14ac:dyDescent="0.3">
      <c r="A171" s="48">
        <v>33147</v>
      </c>
      <c r="B171" s="80" t="s">
        <v>72</v>
      </c>
      <c r="C171" s="7" t="s">
        <v>43</v>
      </c>
      <c r="D171" s="7" t="s">
        <v>44</v>
      </c>
      <c r="E171" s="7" t="s">
        <v>47</v>
      </c>
      <c r="F171" s="50">
        <v>11</v>
      </c>
      <c r="G171" s="17">
        <v>278.45</v>
      </c>
      <c r="H171" s="6">
        <v>190</v>
      </c>
      <c r="I171" s="56">
        <v>146.55263157894737</v>
      </c>
      <c r="J171" s="19">
        <v>3.42</v>
      </c>
      <c r="K171" s="18">
        <v>4</v>
      </c>
      <c r="L171" s="18">
        <v>81.632653061224488</v>
      </c>
      <c r="M171" s="20">
        <v>20.9</v>
      </c>
      <c r="N171" s="20">
        <v>202.92777635000002</v>
      </c>
      <c r="O171" s="62">
        <v>11.595872934285715</v>
      </c>
      <c r="P171" s="20">
        <v>197.2158</v>
      </c>
      <c r="Q171" s="20">
        <v>28.861599999999999</v>
      </c>
      <c r="R171" s="20">
        <v>84.856237919999998</v>
      </c>
      <c r="S171" s="20">
        <v>36.03375959079284</v>
      </c>
      <c r="T171" s="21">
        <v>1.4089200000000002</v>
      </c>
      <c r="U171" s="20">
        <v>82.945599999999999</v>
      </c>
      <c r="V171" s="6">
        <v>11</v>
      </c>
      <c r="W171" s="20">
        <v>50.4</v>
      </c>
      <c r="X171" s="20">
        <v>46.4</v>
      </c>
      <c r="Y171" s="22">
        <v>4.1481481481481479</v>
      </c>
      <c r="Z171" s="22">
        <v>2.3153692614770458</v>
      </c>
      <c r="AA171" s="20">
        <v>124.12993006164253</v>
      </c>
      <c r="AB171" s="20">
        <v>113.71783791999999</v>
      </c>
      <c r="AC171" s="18">
        <v>1.0915607641869465</v>
      </c>
      <c r="AD171" s="18">
        <v>-10.412092141642532</v>
      </c>
      <c r="AE171" s="56">
        <v>1.1774546825483347</v>
      </c>
    </row>
    <row r="172" spans="1:31" outlineLevel="2" x14ac:dyDescent="0.3">
      <c r="A172" s="48">
        <v>33147</v>
      </c>
      <c r="B172" s="80" t="s">
        <v>72</v>
      </c>
      <c r="C172" s="7"/>
      <c r="D172" s="89" t="s">
        <v>79</v>
      </c>
      <c r="E172" s="7"/>
      <c r="F172" s="50"/>
      <c r="G172" s="17">
        <f>SUBTOTAL(1,G169:G171)</f>
        <v>281.78000000000003</v>
      </c>
      <c r="H172" s="6">
        <f>SUBTOTAL(1,H169:H171)</f>
        <v>193.66666666666666</v>
      </c>
      <c r="I172" s="56">
        <f>SUBTOTAL(1,I169:I171)</f>
        <v>145.6033262474117</v>
      </c>
      <c r="J172" s="19">
        <f>SUBTOTAL(1,J169:J171)</f>
        <v>3.3466666666666662</v>
      </c>
      <c r="K172" s="18">
        <f>SUBTOTAL(1,K169:K171)</f>
        <v>4.1966666666666663</v>
      </c>
      <c r="L172" s="18">
        <f>SUBTOTAL(1,L169:L171)</f>
        <v>85.64625850340137</v>
      </c>
      <c r="M172" s="20">
        <f>SUBTOTAL(1,M169:M171)</f>
        <v>19.933333333333334</v>
      </c>
      <c r="N172" s="20">
        <f>SUBTOTAL(1,N169:N171)</f>
        <v>192.13955969999998</v>
      </c>
      <c r="O172" s="62">
        <f>SUBTOTAL(1,O169:O171)</f>
        <v>10.979403411428571</v>
      </c>
      <c r="P172" s="20">
        <f>SUBTOTAL(1,P169:P171)</f>
        <v>188.80963333333332</v>
      </c>
      <c r="Q172" s="20">
        <f>SUBTOTAL(1,Q169:Q171)</f>
        <v>33.221866666666664</v>
      </c>
      <c r="R172" s="20">
        <f>SUBTOTAL(1,R169:R171)</f>
        <v>79.220587573333333</v>
      </c>
      <c r="S172" s="20">
        <f>SUBTOTAL(1,S169:S171)</f>
        <v>30.740664961636828</v>
      </c>
      <c r="T172" s="21">
        <f>SUBTOTAL(1,T169:T171)</f>
        <v>1.2019599999999999</v>
      </c>
      <c r="U172" s="20">
        <f>SUBTOTAL(1,U169:U171)</f>
        <v>77.021299999999997</v>
      </c>
      <c r="V172" s="6">
        <f>SUBTOTAL(1,V169:V171)</f>
        <v>10</v>
      </c>
      <c r="W172" s="20">
        <f>SUBTOTAL(1,W169:W171)</f>
        <v>46.266666666666673</v>
      </c>
      <c r="X172" s="20">
        <f>SUBTOTAL(1,X169:X171)</f>
        <v>42.800000000000004</v>
      </c>
      <c r="Y172" s="22">
        <f>SUBTOTAL(1,Y169:Y171)</f>
        <v>3.8079561042523999</v>
      </c>
      <c r="Z172" s="22">
        <f>SUBTOTAL(1,Z169:Z171)</f>
        <v>2.1357285429141717</v>
      </c>
      <c r="AA172" s="20">
        <f>SUBTOTAL(1,AA169:AA171)</f>
        <v>122.33060811220476</v>
      </c>
      <c r="AB172" s="20">
        <f>SUBTOTAL(1,AB169:AB171)</f>
        <v>112.44245424</v>
      </c>
      <c r="AC172" s="18">
        <f>SUBTOTAL(1,AC169:AC171)</f>
        <v>1.0879313053638717</v>
      </c>
      <c r="AD172" s="18">
        <f>SUBTOTAL(1,AD169:AD171)</f>
        <v>-9.8881538722047626</v>
      </c>
      <c r="AE172" s="56">
        <f>SUBTOTAL(1,AE169:AE171)</f>
        <v>1.2989096754762031</v>
      </c>
    </row>
    <row r="173" spans="1:31" outlineLevel="1" x14ac:dyDescent="0.3">
      <c r="A173" s="48">
        <v>33147</v>
      </c>
      <c r="B173" s="80" t="s">
        <v>72</v>
      </c>
      <c r="C173" s="7"/>
      <c r="D173" s="89" t="s">
        <v>76</v>
      </c>
      <c r="E173" s="7"/>
      <c r="F173" s="50"/>
      <c r="G173" s="90">
        <f>SUBTOTAL(7,G169:G171)</f>
        <v>3.0410360076789811</v>
      </c>
      <c r="H173" s="6">
        <f>SUBTOTAL(7,H169:H171)</f>
        <v>7.2341781380702344</v>
      </c>
      <c r="I173" s="91">
        <f>SUBTOTAL(7,I169:I171)</f>
        <v>4.4089708720983731</v>
      </c>
      <c r="J173" s="92">
        <f>SUBTOTAL(7,J169:J171)</f>
        <v>6.4291005073286431E-2</v>
      </c>
      <c r="K173" s="94">
        <f>SUBTOTAL(7,K169:K171)</f>
        <v>0.23713568549109881</v>
      </c>
      <c r="L173" s="94">
        <f>SUBTOTAL(7,L169:L171)</f>
        <v>4.8395037855326279</v>
      </c>
      <c r="M173" s="94">
        <f>SUBTOTAL(7,M169:M171)</f>
        <v>0.85049005481153683</v>
      </c>
      <c r="N173" s="94">
        <f>SUBTOTAL(7,N169:N171)</f>
        <v>9.4901516472817899</v>
      </c>
      <c r="O173" s="91">
        <f>SUBTOTAL(7,O169:O171)</f>
        <v>0.54229437984467399</v>
      </c>
      <c r="P173" s="94">
        <f>SUBTOTAL(7,P169:P171)</f>
        <v>7.347088567816054</v>
      </c>
      <c r="Q173" s="94">
        <f>SUBTOTAL(7,Q169:Q171)</f>
        <v>4.2085450328270468</v>
      </c>
      <c r="R173" s="94">
        <f>SUBTOTAL(7,R169:R171)</f>
        <v>5.1178626101264175</v>
      </c>
      <c r="S173" s="94">
        <f>SUBTOTAL(7,S169:S171)</f>
        <v>4.5884728516569506</v>
      </c>
      <c r="T173" s="94">
        <f>SUBTOTAL(7,T169:T171)</f>
        <v>0.17940928849978754</v>
      </c>
      <c r="U173" s="94">
        <f>SUBTOTAL(7,U169:U171)</f>
        <v>5.322716598692816</v>
      </c>
      <c r="V173" s="6">
        <f>SUBTOTAL(7,V169:V171)</f>
        <v>1</v>
      </c>
      <c r="W173" s="94">
        <f>SUBTOTAL(7,W169:W171)</f>
        <v>3.7166292972710253</v>
      </c>
      <c r="X173" s="94">
        <f>SUBTOTAL(7,X169:X171)</f>
        <v>3.1749015732775083</v>
      </c>
      <c r="Y173" s="94">
        <f>SUBTOTAL(7,Y169:Y171)</f>
        <v>0.30589541541325316</v>
      </c>
      <c r="Z173" s="94">
        <f>SUBTOTAL(7,Z169:Z171)</f>
        <v>0.15842822221943645</v>
      </c>
      <c r="AA173" s="94">
        <f>SUBTOTAL(7,AA169:AA171)</f>
        <v>3.9441619974268445</v>
      </c>
      <c r="AB173" s="94">
        <f>SUBTOTAL(7,AB169:AB171)</f>
        <v>3.5733489391186892</v>
      </c>
      <c r="AC173" s="94">
        <f>SUBTOTAL(7,AC169:AC171)</f>
        <v>3.2010416636884904E-3</v>
      </c>
      <c r="AD173" s="94">
        <f>SUBTOTAL(7,AD169:AD171)</f>
        <v>0.50643515720978483</v>
      </c>
      <c r="AE173" s="91">
        <f>SUBTOTAL(7,AE169:AE171)</f>
        <v>0.10663855468940103</v>
      </c>
    </row>
    <row r="174" spans="1:31" ht="15" outlineLevel="3" thickBot="1" x14ac:dyDescent="0.35">
      <c r="A174" s="48">
        <v>33147</v>
      </c>
      <c r="B174" s="80" t="s">
        <v>72</v>
      </c>
      <c r="C174" s="32" t="s">
        <v>43</v>
      </c>
      <c r="D174" s="32" t="s">
        <v>48</v>
      </c>
      <c r="E174" s="32" t="s">
        <v>45</v>
      </c>
      <c r="F174" s="51">
        <v>12</v>
      </c>
      <c r="G174" s="39">
        <v>309.20999999999998</v>
      </c>
      <c r="H174" s="33">
        <v>194</v>
      </c>
      <c r="I174" s="58">
        <v>159.38659793814432</v>
      </c>
      <c r="J174" s="41">
        <v>3.48</v>
      </c>
      <c r="K174" s="40">
        <v>4.46</v>
      </c>
      <c r="L174" s="40">
        <v>91.020408163265301</v>
      </c>
      <c r="M174" s="42">
        <v>20.5</v>
      </c>
      <c r="N174" s="42">
        <v>198.44670874999997</v>
      </c>
      <c r="O174" s="64">
        <v>11.339811928571427</v>
      </c>
      <c r="P174" s="42">
        <v>191.8802</v>
      </c>
      <c r="Q174" s="42">
        <v>39.354300000000002</v>
      </c>
      <c r="R174" s="42">
        <v>92.857154660000006</v>
      </c>
      <c r="S174" s="42">
        <v>47.637851662404088</v>
      </c>
      <c r="T174" s="43">
        <v>1.8626399999999999</v>
      </c>
      <c r="U174" s="42">
        <v>90.251900000000006</v>
      </c>
      <c r="V174" s="33">
        <v>12</v>
      </c>
      <c r="W174" s="42">
        <v>52</v>
      </c>
      <c r="X174" s="42">
        <v>50.8</v>
      </c>
      <c r="Y174" s="44">
        <v>4.2798353909465021</v>
      </c>
      <c r="Z174" s="44">
        <v>2.5349301397205588</v>
      </c>
      <c r="AA174" s="42">
        <v>145.47302535633648</v>
      </c>
      <c r="AB174" s="42">
        <v>132.21145466000002</v>
      </c>
      <c r="AC174" s="40">
        <v>1.1003057619359866</v>
      </c>
      <c r="AD174" s="40">
        <v>-13.261570696336463</v>
      </c>
      <c r="AE174" s="58">
        <v>0.97461526306908486</v>
      </c>
    </row>
    <row r="175" spans="1:31" ht="15" outlineLevel="3" thickTop="1" x14ac:dyDescent="0.3">
      <c r="A175" s="48">
        <v>33147</v>
      </c>
      <c r="B175" s="80" t="s">
        <v>72</v>
      </c>
      <c r="C175" s="7" t="s">
        <v>43</v>
      </c>
      <c r="D175" s="3" t="s">
        <v>48</v>
      </c>
      <c r="E175" s="3" t="s">
        <v>46</v>
      </c>
      <c r="F175" s="49">
        <v>13</v>
      </c>
      <c r="G175" s="14">
        <v>264.88</v>
      </c>
      <c r="H175" s="2">
        <v>178</v>
      </c>
      <c r="I175" s="55">
        <v>148.80898876404493</v>
      </c>
      <c r="J175" s="15">
        <v>3.48</v>
      </c>
      <c r="K175" s="13">
        <v>4.55</v>
      </c>
      <c r="L175" s="13">
        <v>92.857142857142861</v>
      </c>
      <c r="M175" s="4">
        <v>19.899999999999999</v>
      </c>
      <c r="N175" s="4">
        <v>191.74900835</v>
      </c>
      <c r="O175" s="61">
        <v>10.957086191428571</v>
      </c>
      <c r="P175" s="4">
        <v>186.59870000000001</v>
      </c>
      <c r="Q175" s="4">
        <v>36.694299999999998</v>
      </c>
      <c r="R175" s="4">
        <v>98.240662659999998</v>
      </c>
      <c r="S175" s="4">
        <v>49.673657289002556</v>
      </c>
      <c r="T175" s="16">
        <v>1.94224</v>
      </c>
      <c r="U175" s="4">
        <v>95.811499999999995</v>
      </c>
      <c r="V175" s="2">
        <v>13</v>
      </c>
      <c r="W175" s="4">
        <v>55.6</v>
      </c>
      <c r="X175" s="4">
        <v>52.8</v>
      </c>
      <c r="Y175" s="5">
        <v>4.576131687242798</v>
      </c>
      <c r="Z175" s="5">
        <v>2.634730538922156</v>
      </c>
      <c r="AA175" s="4">
        <v>149.74166237231037</v>
      </c>
      <c r="AB175" s="4">
        <v>134.93496266</v>
      </c>
      <c r="AC175" s="13">
        <v>1.1097321214637255</v>
      </c>
      <c r="AD175" s="13">
        <v>-14.806699712310376</v>
      </c>
      <c r="AE175" s="55">
        <v>0.98886077673356543</v>
      </c>
    </row>
    <row r="176" spans="1:31" outlineLevel="3" x14ac:dyDescent="0.3">
      <c r="A176" s="48">
        <v>33147</v>
      </c>
      <c r="B176" s="80" t="s">
        <v>72</v>
      </c>
      <c r="C176" s="3" t="s">
        <v>43</v>
      </c>
      <c r="D176" s="3" t="s">
        <v>48</v>
      </c>
      <c r="E176" s="7" t="s">
        <v>47</v>
      </c>
      <c r="F176" s="50">
        <v>14</v>
      </c>
      <c r="G176" s="17">
        <v>301.48</v>
      </c>
      <c r="H176" s="6">
        <v>199</v>
      </c>
      <c r="I176" s="56">
        <v>151.49748743718595</v>
      </c>
      <c r="J176" s="19">
        <v>3.43</v>
      </c>
      <c r="K176" s="18">
        <v>4.5199999999999996</v>
      </c>
      <c r="L176" s="18">
        <v>92.244897959183675</v>
      </c>
      <c r="M176" s="20">
        <v>19.399999999999999</v>
      </c>
      <c r="N176" s="20">
        <v>186.1895006</v>
      </c>
      <c r="O176" s="62">
        <v>10.639400034285714</v>
      </c>
      <c r="P176" s="20">
        <v>182.43350000000001</v>
      </c>
      <c r="Q176" s="20">
        <v>34.280200000000001</v>
      </c>
      <c r="R176" s="20">
        <v>95.539749239999992</v>
      </c>
      <c r="S176" s="20">
        <v>43.769820971867006</v>
      </c>
      <c r="T176" s="21">
        <v>1.7113999999999998</v>
      </c>
      <c r="U176" s="20">
        <v>93.270399999999995</v>
      </c>
      <c r="V176" s="6">
        <v>14</v>
      </c>
      <c r="W176" s="20">
        <v>49.2</v>
      </c>
      <c r="X176" s="20">
        <v>48.8</v>
      </c>
      <c r="Y176" s="22">
        <v>4.0493827160493829</v>
      </c>
      <c r="Z176" s="22">
        <v>2.435129740518962</v>
      </c>
      <c r="AA176" s="20">
        <v>142.49923138761903</v>
      </c>
      <c r="AB176" s="20">
        <v>129.81994924</v>
      </c>
      <c r="AC176" s="18">
        <v>1.097668210639789</v>
      </c>
      <c r="AD176" s="18">
        <v>-12.679282147619034</v>
      </c>
      <c r="AE176" s="56">
        <v>1.0913883940878812</v>
      </c>
    </row>
    <row r="177" spans="1:31" outlineLevel="2" x14ac:dyDescent="0.3">
      <c r="A177" s="48">
        <v>33147</v>
      </c>
      <c r="B177" s="80" t="s">
        <v>72</v>
      </c>
      <c r="C177" s="3"/>
      <c r="D177" s="95" t="s">
        <v>80</v>
      </c>
      <c r="E177" s="7"/>
      <c r="F177" s="50"/>
      <c r="G177" s="17">
        <f>SUBTOTAL(1,G174:G176)</f>
        <v>291.85666666666663</v>
      </c>
      <c r="H177" s="6">
        <f>SUBTOTAL(1,H174:H176)</f>
        <v>190.33333333333334</v>
      </c>
      <c r="I177" s="56">
        <f>SUBTOTAL(1,I174:I176)</f>
        <v>153.23102471312507</v>
      </c>
      <c r="J177" s="19">
        <f>SUBTOTAL(1,J174:J176)</f>
        <v>3.4633333333333334</v>
      </c>
      <c r="K177" s="18">
        <f>SUBTOTAL(1,K174:K176)</f>
        <v>4.51</v>
      </c>
      <c r="L177" s="18">
        <f>SUBTOTAL(1,L174:L176)</f>
        <v>92.040816326530603</v>
      </c>
      <c r="M177" s="20">
        <f>SUBTOTAL(1,M174:M176)</f>
        <v>19.933333333333334</v>
      </c>
      <c r="N177" s="20">
        <f>SUBTOTAL(1,N174:N176)</f>
        <v>192.12840589999999</v>
      </c>
      <c r="O177" s="62">
        <f>SUBTOTAL(1,O174:O176)</f>
        <v>10.97876605142857</v>
      </c>
      <c r="P177" s="20">
        <f>SUBTOTAL(1,P174:P176)</f>
        <v>186.97080000000003</v>
      </c>
      <c r="Q177" s="20">
        <f>SUBTOTAL(1,Q174:Q176)</f>
        <v>36.776266666666665</v>
      </c>
      <c r="R177" s="20">
        <f>SUBTOTAL(1,R174:R176)</f>
        <v>95.545855519999989</v>
      </c>
      <c r="S177" s="20">
        <f>SUBTOTAL(1,S174:S176)</f>
        <v>47.027109974424548</v>
      </c>
      <c r="T177" s="21">
        <f>SUBTOTAL(1,T174:T176)</f>
        <v>1.83876</v>
      </c>
      <c r="U177" s="20">
        <f>SUBTOTAL(1,U174:U176)</f>
        <v>93.111266666666666</v>
      </c>
      <c r="V177" s="6">
        <f>SUBTOTAL(1,V174:V176)</f>
        <v>13</v>
      </c>
      <c r="W177" s="20">
        <f>SUBTOTAL(1,W174:W176)</f>
        <v>52.266666666666673</v>
      </c>
      <c r="X177" s="20">
        <f>SUBTOTAL(1,X174:X176)</f>
        <v>50.79999999999999</v>
      </c>
      <c r="Y177" s="22">
        <f>SUBTOTAL(1,Y174:Y176)</f>
        <v>4.301783264746228</v>
      </c>
      <c r="Z177" s="22">
        <f>SUBTOTAL(1,Z174:Z176)</f>
        <v>2.5349301397205593</v>
      </c>
      <c r="AA177" s="20">
        <f>SUBTOTAL(1,AA174:AA176)</f>
        <v>145.90463970542194</v>
      </c>
      <c r="AB177" s="20">
        <f>SUBTOTAL(1,AB174:AB176)</f>
        <v>132.32212218666666</v>
      </c>
      <c r="AC177" s="18">
        <f>SUBTOTAL(1,AC174:AC176)</f>
        <v>1.102568698013167</v>
      </c>
      <c r="AD177" s="18">
        <f>SUBTOTAL(1,AD174:AD176)</f>
        <v>-13.58251751875529</v>
      </c>
      <c r="AE177" s="56">
        <f>SUBTOTAL(1,AE174:AE176)</f>
        <v>1.0182881446301772</v>
      </c>
    </row>
    <row r="178" spans="1:31" outlineLevel="1" x14ac:dyDescent="0.3">
      <c r="A178" s="48">
        <v>33147</v>
      </c>
      <c r="B178" s="80" t="s">
        <v>72</v>
      </c>
      <c r="C178" s="3"/>
      <c r="D178" s="95" t="s">
        <v>77</v>
      </c>
      <c r="E178" s="7"/>
      <c r="F178" s="50"/>
      <c r="G178" s="90">
        <f>SUBTOTAL(7,G174:G176)</f>
        <v>23.680026041652347</v>
      </c>
      <c r="H178" s="6">
        <f>SUBTOTAL(7,H174:H176)</f>
        <v>10.969655114602888</v>
      </c>
      <c r="I178" s="91">
        <f>SUBTOTAL(7,I174:I176)</f>
        <v>5.4977556853047505</v>
      </c>
      <c r="J178" s="92">
        <f>SUBTOTAL(7,J174:J176)</f>
        <v>2.8867513459481187E-2</v>
      </c>
      <c r="K178" s="94">
        <f>SUBTOTAL(7,K174:K176)</f>
        <v>4.5825756949558302E-2</v>
      </c>
      <c r="L178" s="94">
        <f>SUBTOTAL(7,L174:L176)</f>
        <v>0.93521952958282895</v>
      </c>
      <c r="M178" s="94">
        <f>SUBTOTAL(7,M174:M176)</f>
        <v>0.55075705472861092</v>
      </c>
      <c r="N178" s="94">
        <f>SUBTOTAL(7,N174:N176)</f>
        <v>6.1374053788075544</v>
      </c>
      <c r="O178" s="91">
        <f>SUBTOTAL(7,O174:O176)</f>
        <v>0.35070887878900336</v>
      </c>
      <c r="P178" s="94">
        <f>SUBTOTAL(7,P174:P176)</f>
        <v>4.7343298395865876</v>
      </c>
      <c r="Q178" s="94">
        <f>SUBTOTAL(7,Q174:Q176)</f>
        <v>2.538042868694959</v>
      </c>
      <c r="R178" s="94">
        <f>SUBTOTAL(7,R174:R176)</f>
        <v>2.6917591945617194</v>
      </c>
      <c r="S178" s="94">
        <f>SUBTOTAL(7,S174:S176)</f>
        <v>2.9989289541366659</v>
      </c>
      <c r="T178" s="94">
        <f>SUBTOTAL(7,T174:T176)</f>
        <v>0.1172581221067437</v>
      </c>
      <c r="U178" s="94">
        <f>SUBTOTAL(7,U174:U176)</f>
        <v>2.7832140778842906</v>
      </c>
      <c r="V178" s="6">
        <f>SUBTOTAL(7,V174:V176)</f>
        <v>1</v>
      </c>
      <c r="W178" s="94">
        <f>SUBTOTAL(7,W174:W176)</f>
        <v>3.2083225108042566</v>
      </c>
      <c r="X178" s="94">
        <f>SUBTOTAL(7,X174:X176)</f>
        <v>2</v>
      </c>
      <c r="Y178" s="94">
        <f>SUBTOTAL(7,Y174:Y176)</f>
        <v>0.26405946590981511</v>
      </c>
      <c r="Z178" s="94">
        <f>SUBTOTAL(7,Z174:Z176)</f>
        <v>9.9800399201597001E-2</v>
      </c>
      <c r="AA178" s="94">
        <f>SUBTOTAL(7,AA174:AA176)</f>
        <v>3.6404559950309316</v>
      </c>
      <c r="AB178" s="94">
        <f>SUBTOTAL(7,AB174:AB176)</f>
        <v>2.5593018672655443</v>
      </c>
      <c r="AC178" s="94">
        <f>SUBTOTAL(7,AC174:AC176)</f>
        <v>6.3423296870334786E-3</v>
      </c>
      <c r="AD178" s="94">
        <f>SUBTOTAL(7,AD174:AD176)</f>
        <v>1.0994232673337723</v>
      </c>
      <c r="AE178" s="91">
        <f>SUBTOTAL(7,AE174:AE176)</f>
        <v>6.3706110523050669E-2</v>
      </c>
    </row>
    <row r="179" spans="1:31" outlineLevel="3" x14ac:dyDescent="0.3">
      <c r="A179" s="48">
        <v>33147</v>
      </c>
      <c r="B179" s="80" t="s">
        <v>72</v>
      </c>
      <c r="C179" s="3" t="s">
        <v>43</v>
      </c>
      <c r="D179" s="7" t="s">
        <v>49</v>
      </c>
      <c r="E179" s="7" t="s">
        <v>45</v>
      </c>
      <c r="F179" s="50">
        <v>15</v>
      </c>
      <c r="G179" s="17">
        <v>295.94</v>
      </c>
      <c r="H179" s="6">
        <v>186</v>
      </c>
      <c r="I179" s="56">
        <v>159.10752688172042</v>
      </c>
      <c r="J179" s="19">
        <v>3.43</v>
      </c>
      <c r="K179" s="18">
        <v>4.92</v>
      </c>
      <c r="L179" s="18">
        <v>100.40816326530611</v>
      </c>
      <c r="M179" s="20">
        <v>19.7</v>
      </c>
      <c r="N179" s="20">
        <v>189.52281514999999</v>
      </c>
      <c r="O179" s="62">
        <v>10.82987515142857</v>
      </c>
      <c r="P179" s="20">
        <v>194.7</v>
      </c>
      <c r="Q179" s="20">
        <v>49.09</v>
      </c>
      <c r="R179" s="20">
        <v>99.309758000000002</v>
      </c>
      <c r="S179" s="20">
        <v>49.470076726342711</v>
      </c>
      <c r="T179" s="21">
        <v>1.9342800000000002</v>
      </c>
      <c r="U179" s="20">
        <v>96.06</v>
      </c>
      <c r="V179" s="6">
        <v>15</v>
      </c>
      <c r="W179" s="20">
        <v>51.2</v>
      </c>
      <c r="X179" s="20">
        <v>46.8</v>
      </c>
      <c r="Y179" s="22">
        <v>4.2139917695473255</v>
      </c>
      <c r="Z179" s="22">
        <v>2.3353293413173652</v>
      </c>
      <c r="AA179" s="20">
        <v>156.42756110251352</v>
      </c>
      <c r="AB179" s="20">
        <v>148.39975800000002</v>
      </c>
      <c r="AC179" s="18">
        <v>1.0540957964534787</v>
      </c>
      <c r="AD179" s="18">
        <v>-8.0278031025135022</v>
      </c>
      <c r="AE179" s="56">
        <v>1.0037356374981905</v>
      </c>
    </row>
    <row r="180" spans="1:31" outlineLevel="3" x14ac:dyDescent="0.3">
      <c r="A180" s="48">
        <v>33147</v>
      </c>
      <c r="B180" s="80" t="s">
        <v>72</v>
      </c>
      <c r="C180" s="3" t="s">
        <v>43</v>
      </c>
      <c r="D180" s="7" t="s">
        <v>49</v>
      </c>
      <c r="E180" s="23" t="s">
        <v>46</v>
      </c>
      <c r="F180" s="52">
        <v>16</v>
      </c>
      <c r="G180" s="25">
        <v>314.17</v>
      </c>
      <c r="H180" s="24">
        <v>203</v>
      </c>
      <c r="I180" s="57">
        <v>154.76354679802958</v>
      </c>
      <c r="J180" s="27">
        <v>3.57</v>
      </c>
      <c r="K180" s="26">
        <v>4.37</v>
      </c>
      <c r="L180" s="26">
        <v>89.183673469387756</v>
      </c>
      <c r="M180" s="28">
        <v>20.6</v>
      </c>
      <c r="N180" s="28">
        <v>199.56578059999998</v>
      </c>
      <c r="O180" s="63">
        <v>11.40375889142857</v>
      </c>
      <c r="P180" s="28">
        <v>202.4</v>
      </c>
      <c r="Q180" s="28">
        <v>38.9</v>
      </c>
      <c r="R180" s="28">
        <v>104.57518</v>
      </c>
      <c r="S180" s="28">
        <v>58.020460358056262</v>
      </c>
      <c r="T180" s="29">
        <v>2.2685999999999997</v>
      </c>
      <c r="U180" s="28">
        <v>102</v>
      </c>
      <c r="V180" s="24">
        <v>16</v>
      </c>
      <c r="W180" s="28">
        <v>53.2</v>
      </c>
      <c r="X180" s="28">
        <v>49.6</v>
      </c>
      <c r="Y180" s="30">
        <v>4.378600823045268</v>
      </c>
      <c r="Z180" s="30">
        <v>2.4750499001996009</v>
      </c>
      <c r="AA180" s="28">
        <v>154.05778455068889</v>
      </c>
      <c r="AB180" s="28">
        <v>143.47517999999999</v>
      </c>
      <c r="AC180" s="26">
        <v>1.0737591306781347</v>
      </c>
      <c r="AD180" s="26">
        <v>-10.582604550688899</v>
      </c>
      <c r="AE180" s="57">
        <v>0.90119226351053527</v>
      </c>
    </row>
    <row r="181" spans="1:31" outlineLevel="3" x14ac:dyDescent="0.3">
      <c r="A181" s="48">
        <v>33147</v>
      </c>
      <c r="B181" s="80" t="s">
        <v>72</v>
      </c>
      <c r="C181" s="7" t="s">
        <v>43</v>
      </c>
      <c r="D181" s="7" t="s">
        <v>49</v>
      </c>
      <c r="E181" s="81" t="s">
        <v>47</v>
      </c>
      <c r="F181" s="50">
        <v>17</v>
      </c>
      <c r="G181" s="17">
        <v>245.89</v>
      </c>
      <c r="H181" s="31">
        <v>179</v>
      </c>
      <c r="I181" s="56">
        <v>137.36871508379886</v>
      </c>
      <c r="J181" s="19">
        <v>3.54</v>
      </c>
      <c r="K181" s="85">
        <v>4.4800000000000004</v>
      </c>
      <c r="L181" s="85">
        <v>91.428571428571445</v>
      </c>
      <c r="M181" s="86">
        <v>19.3</v>
      </c>
      <c r="N181" s="86">
        <v>185.07998914999999</v>
      </c>
      <c r="O181" s="62">
        <v>10.575999379999999</v>
      </c>
      <c r="P181" s="86">
        <v>188.2</v>
      </c>
      <c r="Q181" s="86">
        <v>37.67</v>
      </c>
      <c r="R181" s="86">
        <v>106.59375399999999</v>
      </c>
      <c r="S181" s="86">
        <v>56.391815856777491</v>
      </c>
      <c r="T181" s="87">
        <v>2.20492</v>
      </c>
      <c r="U181" s="86">
        <v>104.1</v>
      </c>
      <c r="V181" s="31">
        <v>17</v>
      </c>
      <c r="W181" s="86">
        <v>54</v>
      </c>
      <c r="X181" s="86">
        <v>54</v>
      </c>
      <c r="Y181" s="88">
        <v>4.4444444444444446</v>
      </c>
      <c r="Z181" s="88">
        <v>2.6946107784431139</v>
      </c>
      <c r="AA181" s="86">
        <v>154.95944250823652</v>
      </c>
      <c r="AB181" s="86">
        <v>144.26375400000001</v>
      </c>
      <c r="AC181" s="85">
        <v>1.0741398182958453</v>
      </c>
      <c r="AD181" s="85">
        <v>-10.695688508236515</v>
      </c>
      <c r="AE181" s="56">
        <v>0.94511723359577671</v>
      </c>
    </row>
    <row r="182" spans="1:31" outlineLevel="2" x14ac:dyDescent="0.3">
      <c r="A182" s="48">
        <v>33147</v>
      </c>
      <c r="B182" s="80" t="s">
        <v>72</v>
      </c>
      <c r="C182" s="7"/>
      <c r="D182" s="89" t="s">
        <v>81</v>
      </c>
      <c r="E182" s="81"/>
      <c r="F182" s="50"/>
      <c r="G182" s="17">
        <f>SUBTOTAL(1,G179:G181)</f>
        <v>285.33333333333331</v>
      </c>
      <c r="H182" s="31">
        <f>SUBTOTAL(1,H179:H181)</f>
        <v>189.33333333333334</v>
      </c>
      <c r="I182" s="56">
        <f>SUBTOTAL(1,I179:I181)</f>
        <v>150.41326292118296</v>
      </c>
      <c r="J182" s="19">
        <f>SUBTOTAL(1,J179:J181)</f>
        <v>3.5133333333333332</v>
      </c>
      <c r="K182" s="85">
        <f>SUBTOTAL(1,K179:K181)</f>
        <v>4.59</v>
      </c>
      <c r="L182" s="85">
        <f>SUBTOTAL(1,L179:L181)</f>
        <v>93.673469387755105</v>
      </c>
      <c r="M182" s="86">
        <f>SUBTOTAL(1,M179:M181)</f>
        <v>19.866666666666664</v>
      </c>
      <c r="N182" s="86">
        <f>SUBTOTAL(1,N179:N181)</f>
        <v>191.38952829999997</v>
      </c>
      <c r="O182" s="62">
        <f>SUBTOTAL(1,O179:O181)</f>
        <v>10.936544474285713</v>
      </c>
      <c r="P182" s="86">
        <f>SUBTOTAL(1,P179:P181)</f>
        <v>195.1</v>
      </c>
      <c r="Q182" s="86">
        <f>SUBTOTAL(1,Q179:Q181)</f>
        <v>41.88666666666667</v>
      </c>
      <c r="R182" s="86">
        <f>SUBTOTAL(1,R179:R181)</f>
        <v>103.49289733333335</v>
      </c>
      <c r="S182" s="86">
        <f>SUBTOTAL(1,S179:S181)</f>
        <v>54.627450980392155</v>
      </c>
      <c r="T182" s="87">
        <f>SUBTOTAL(1,T179:T181)</f>
        <v>2.1359333333333335</v>
      </c>
      <c r="U182" s="86">
        <f>SUBTOTAL(1,U179:U181)</f>
        <v>100.71999999999998</v>
      </c>
      <c r="V182" s="31">
        <f>SUBTOTAL(1,V179:V181)</f>
        <v>16</v>
      </c>
      <c r="W182" s="86">
        <f>SUBTOTAL(1,W179:W181)</f>
        <v>52.800000000000004</v>
      </c>
      <c r="X182" s="86">
        <f>SUBTOTAL(1,X179:X181)</f>
        <v>50.133333333333333</v>
      </c>
      <c r="Y182" s="88">
        <f>SUBTOTAL(1,Y179:Y181)</f>
        <v>4.3456790123456797</v>
      </c>
      <c r="Z182" s="88">
        <f>SUBTOTAL(1,Z179:Z181)</f>
        <v>2.5016633399866932</v>
      </c>
      <c r="AA182" s="86">
        <f>SUBTOTAL(1,AA179:AA181)</f>
        <v>155.14826272047966</v>
      </c>
      <c r="AB182" s="86">
        <f>SUBTOTAL(1,AB179:AB181)</f>
        <v>145.37956400000002</v>
      </c>
      <c r="AC182" s="85">
        <f>SUBTOTAL(1,AC179:AC181)</f>
        <v>1.0673315818091529</v>
      </c>
      <c r="AD182" s="85">
        <f>SUBTOTAL(1,AD179:AD181)</f>
        <v>-9.7686987204796392</v>
      </c>
      <c r="AE182" s="56">
        <f>SUBTOTAL(1,AE179:AE181)</f>
        <v>0.95001504486816746</v>
      </c>
    </row>
    <row r="183" spans="1:31" outlineLevel="1" x14ac:dyDescent="0.3">
      <c r="A183" s="48">
        <v>33147</v>
      </c>
      <c r="B183" s="80" t="s">
        <v>72</v>
      </c>
      <c r="C183" s="7"/>
      <c r="D183" s="89" t="s">
        <v>78</v>
      </c>
      <c r="E183" s="81"/>
      <c r="F183" s="50"/>
      <c r="G183" s="90">
        <f>SUBTOTAL(7,G179:G181)</f>
        <v>35.354145914352642</v>
      </c>
      <c r="H183" s="31">
        <f>SUBTOTAL(7,H179:H181)</f>
        <v>12.342339054382411</v>
      </c>
      <c r="I183" s="91">
        <f>SUBTOTAL(7,I179:I181)</f>
        <v>11.503812931077555</v>
      </c>
      <c r="J183" s="92">
        <f>SUBTOTAL(7,J179:J181)</f>
        <v>7.3711147958319789E-2</v>
      </c>
      <c r="K183" s="93">
        <f>SUBTOTAL(7,K179:K181)</f>
        <v>0.29103264421710484</v>
      </c>
      <c r="L183" s="93">
        <f>SUBTOTAL(7,L179:L181)</f>
        <v>5.9394417187164201</v>
      </c>
      <c r="M183" s="93">
        <f>SUBTOTAL(7,M179:M181)</f>
        <v>0.66583281184793985</v>
      </c>
      <c r="N183" s="93">
        <f>SUBTOTAL(7,N179:N181)</f>
        <v>7.4211186469096706</v>
      </c>
      <c r="O183" s="91">
        <f>SUBTOTAL(7,O179:O181)</f>
        <v>0.42406392268055254</v>
      </c>
      <c r="P183" s="93">
        <f>SUBTOTAL(7,P179:P181)</f>
        <v>7.1084456810191723</v>
      </c>
      <c r="Q183" s="93">
        <f>SUBTOTAL(7,Q179:Q181)</f>
        <v>6.2685112533466087</v>
      </c>
      <c r="R183" s="93">
        <f>SUBTOTAL(7,R179:R181)</f>
        <v>3.7606716501084345</v>
      </c>
      <c r="S183" s="93">
        <f>SUBTOTAL(7,S179:S181)</f>
        <v>4.5400443417587271</v>
      </c>
      <c r="T183" s="93">
        <f>SUBTOTAL(7,T179:T181)</f>
        <v>0.17751573376276611</v>
      </c>
      <c r="U183" s="93">
        <f>SUBTOTAL(7,U179:U181)</f>
        <v>4.1700359710678718</v>
      </c>
      <c r="V183" s="31">
        <f>SUBTOTAL(7,V179:V181)</f>
        <v>1</v>
      </c>
      <c r="W183" s="93">
        <f>SUBTOTAL(7,W179:W181)</f>
        <v>1.4422205101855945</v>
      </c>
      <c r="X183" s="93">
        <f>SUBTOTAL(7,X179:X181)</f>
        <v>3.6295086903509879</v>
      </c>
      <c r="Y183" s="93">
        <f>SUBTOTAL(7,Y179:Y181)</f>
        <v>0.1187012765584852</v>
      </c>
      <c r="Z183" s="93">
        <f>SUBTOTAL(7,Z179:Z181)</f>
        <v>0.18111320810134673</v>
      </c>
      <c r="AA183" s="93">
        <f>SUBTOTAL(7,AA179:AA181)</f>
        <v>1.1961187360827146</v>
      </c>
      <c r="AB183" s="93">
        <f>SUBTOTAL(7,AB179:AB181)</f>
        <v>2.645116459930652</v>
      </c>
      <c r="AC183" s="93">
        <f>SUBTOTAL(7,AC179:AC181)</f>
        <v>1.1464106648652498E-2</v>
      </c>
      <c r="AD183" s="93">
        <f>SUBTOTAL(7,AD179:AD181)</f>
        <v>1.5087197088438631</v>
      </c>
      <c r="AE183" s="91">
        <f>SUBTOTAL(7,AE179:AE181)</f>
        <v>5.1446839588433421E-2</v>
      </c>
    </row>
    <row r="184" spans="1:31" outlineLevel="3" x14ac:dyDescent="0.3">
      <c r="A184" s="48">
        <v>33154</v>
      </c>
      <c r="B184" s="80" t="s">
        <v>73</v>
      </c>
      <c r="C184" s="81" t="s">
        <v>43</v>
      </c>
      <c r="D184" s="81" t="s">
        <v>44</v>
      </c>
      <c r="E184" s="81" t="s">
        <v>45</v>
      </c>
      <c r="F184" s="50">
        <v>9</v>
      </c>
      <c r="G184" s="17">
        <v>340.24</v>
      </c>
      <c r="H184" s="31">
        <v>243</v>
      </c>
      <c r="I184" s="56">
        <v>140.01646090534982</v>
      </c>
      <c r="J184" s="19">
        <v>3.32</v>
      </c>
      <c r="K184" s="85">
        <v>3.9</v>
      </c>
      <c r="L184" s="85">
        <v>79.591836734693871</v>
      </c>
      <c r="M184" s="86">
        <v>19.8</v>
      </c>
      <c r="N184" s="86">
        <v>190.63551340000001</v>
      </c>
      <c r="O184" s="62">
        <v>10.893457908571429</v>
      </c>
      <c r="P184" s="86">
        <v>196.7</v>
      </c>
      <c r="Q184" s="86">
        <v>28.91</v>
      </c>
      <c r="R184" s="86">
        <v>74.733841999999996</v>
      </c>
      <c r="S184" s="86">
        <v>28.094117647058823</v>
      </c>
      <c r="T184" s="87">
        <v>1.0984800000000001</v>
      </c>
      <c r="U184" s="86">
        <v>72.819999999999993</v>
      </c>
      <c r="V184" s="31">
        <v>9</v>
      </c>
      <c r="W184" s="86">
        <v>45.6</v>
      </c>
      <c r="X184" s="86">
        <v>39.200000000000003</v>
      </c>
      <c r="Y184" s="88">
        <v>3.7530864197530858</v>
      </c>
      <c r="Z184" s="88">
        <v>1.9560878243512976</v>
      </c>
      <c r="AA184" s="86">
        <v>113.39512862585708</v>
      </c>
      <c r="AB184" s="86">
        <v>103.64384199999999</v>
      </c>
      <c r="AC184" s="85">
        <v>1.0940845730695423</v>
      </c>
      <c r="AD184" s="85">
        <v>-9.7512866258570909</v>
      </c>
      <c r="AE184" s="56">
        <v>1.3300620958961473</v>
      </c>
    </row>
    <row r="185" spans="1:31" outlineLevel="3" x14ac:dyDescent="0.3">
      <c r="A185" s="48">
        <v>33154</v>
      </c>
      <c r="B185" s="80" t="s">
        <v>73</v>
      </c>
      <c r="C185" s="81" t="s">
        <v>43</v>
      </c>
      <c r="D185" s="81" t="s">
        <v>44</v>
      </c>
      <c r="E185" s="7" t="s">
        <v>46</v>
      </c>
      <c r="F185" s="50">
        <v>10</v>
      </c>
      <c r="G185" s="17">
        <v>321.19</v>
      </c>
      <c r="H185" s="6">
        <v>215</v>
      </c>
      <c r="I185" s="56">
        <v>149.39069767441859</v>
      </c>
      <c r="J185" s="19">
        <v>3.34</v>
      </c>
      <c r="K185" s="18">
        <v>3.61</v>
      </c>
      <c r="L185" s="18">
        <v>73.673469387755091</v>
      </c>
      <c r="M185" s="20">
        <v>19.899999999999999</v>
      </c>
      <c r="N185" s="20">
        <v>191.74900834999997</v>
      </c>
      <c r="O185" s="62">
        <v>10.957086191428569</v>
      </c>
      <c r="P185" s="20">
        <v>198</v>
      </c>
      <c r="Q185" s="20">
        <v>29.18</v>
      </c>
      <c r="R185" s="20">
        <v>77.521715999999998</v>
      </c>
      <c r="S185" s="20">
        <v>30.333503836317135</v>
      </c>
      <c r="T185" s="21">
        <v>1.18604</v>
      </c>
      <c r="U185" s="20">
        <v>75.59</v>
      </c>
      <c r="V185" s="6">
        <v>10</v>
      </c>
      <c r="W185" s="20">
        <v>46</v>
      </c>
      <c r="X185" s="20">
        <v>40.799999999999997</v>
      </c>
      <c r="Y185" s="22">
        <v>3.786008230452675</v>
      </c>
      <c r="Z185" s="22">
        <v>2.0359281437125749</v>
      </c>
      <c r="AA185" s="20">
        <v>109.82890959823749</v>
      </c>
      <c r="AB185" s="20">
        <v>106.701716</v>
      </c>
      <c r="AC185" s="18">
        <v>1.0293078098035227</v>
      </c>
      <c r="AD185" s="18">
        <v>-3.1271935982374828</v>
      </c>
      <c r="AE185" s="56">
        <v>1.2778233009004756</v>
      </c>
    </row>
    <row r="186" spans="1:31" outlineLevel="3" x14ac:dyDescent="0.3">
      <c r="A186" s="48">
        <v>33154</v>
      </c>
      <c r="B186" s="80" t="s">
        <v>73</v>
      </c>
      <c r="C186" s="81" t="s">
        <v>43</v>
      </c>
      <c r="D186" s="81" t="s">
        <v>44</v>
      </c>
      <c r="E186" s="23" t="s">
        <v>47</v>
      </c>
      <c r="F186" s="52">
        <v>11</v>
      </c>
      <c r="G186" s="25">
        <v>334.2</v>
      </c>
      <c r="H186" s="24">
        <v>221</v>
      </c>
      <c r="I186" s="57">
        <v>151.22171945701356</v>
      </c>
      <c r="J186" s="27">
        <v>3.37</v>
      </c>
      <c r="K186" s="26">
        <v>3.36</v>
      </c>
      <c r="L186" s="26">
        <v>68.571428571428569</v>
      </c>
      <c r="M186" s="28">
        <v>21.1</v>
      </c>
      <c r="N186" s="28">
        <v>205.17309035000002</v>
      </c>
      <c r="O186" s="63">
        <v>11.724176591428574</v>
      </c>
      <c r="P186" s="28">
        <v>207.5</v>
      </c>
      <c r="Q186" s="28">
        <v>23.76</v>
      </c>
      <c r="R186" s="28">
        <v>81.782911999999996</v>
      </c>
      <c r="S186" s="28">
        <v>35.830179028132989</v>
      </c>
      <c r="T186" s="29">
        <v>1.40096</v>
      </c>
      <c r="U186" s="28">
        <v>80.209999999999994</v>
      </c>
      <c r="V186" s="24">
        <v>11</v>
      </c>
      <c r="W186" s="28">
        <v>50.4</v>
      </c>
      <c r="X186" s="28">
        <v>45.2</v>
      </c>
      <c r="Y186" s="30">
        <v>4.1481481481481479</v>
      </c>
      <c r="Z186" s="30">
        <v>2.2554890219560879</v>
      </c>
      <c r="AA186" s="28">
        <v>110.8052447696658</v>
      </c>
      <c r="AB186" s="28">
        <v>105.542912</v>
      </c>
      <c r="AC186" s="26">
        <v>1.0498596511120122</v>
      </c>
      <c r="AD186" s="26">
        <v>-5.2623327696658038</v>
      </c>
      <c r="AE186" s="57">
        <v>1.1412573732297853</v>
      </c>
    </row>
    <row r="187" spans="1:31" outlineLevel="2" x14ac:dyDescent="0.3">
      <c r="A187" s="48">
        <v>33154</v>
      </c>
      <c r="B187" s="80" t="s">
        <v>73</v>
      </c>
      <c r="C187" s="81"/>
      <c r="D187" s="95" t="s">
        <v>79</v>
      </c>
      <c r="E187" s="81"/>
      <c r="F187" s="50"/>
      <c r="G187" s="17">
        <f>SUBTOTAL(1,G184:G186)</f>
        <v>331.87666666666672</v>
      </c>
      <c r="H187" s="31">
        <f>SUBTOTAL(1,H184:H186)</f>
        <v>226.33333333333334</v>
      </c>
      <c r="I187" s="56">
        <f>SUBTOTAL(1,I184:I186)</f>
        <v>146.87629267892734</v>
      </c>
      <c r="J187" s="19">
        <f>SUBTOTAL(1,J184:J186)</f>
        <v>3.3433333333333337</v>
      </c>
      <c r="K187" s="85">
        <f>SUBTOTAL(1,K184:K186)</f>
        <v>3.6233333333333331</v>
      </c>
      <c r="L187" s="85">
        <f>SUBTOTAL(1,L184:L186)</f>
        <v>73.945578231292515</v>
      </c>
      <c r="M187" s="86">
        <f>SUBTOTAL(1,M184:M186)</f>
        <v>20.266666666666669</v>
      </c>
      <c r="N187" s="86">
        <f>SUBTOTAL(1,N184:N186)</f>
        <v>195.85253736666667</v>
      </c>
      <c r="O187" s="62">
        <f>SUBTOTAL(1,O184:O186)</f>
        <v>11.191573563809525</v>
      </c>
      <c r="P187" s="86">
        <f>SUBTOTAL(1,P184:P186)</f>
        <v>200.73333333333335</v>
      </c>
      <c r="Q187" s="86">
        <f>SUBTOTAL(1,Q184:Q186)</f>
        <v>27.283333333333335</v>
      </c>
      <c r="R187" s="86">
        <f>SUBTOTAL(1,R184:R186)</f>
        <v>78.012823333333344</v>
      </c>
      <c r="S187" s="86">
        <f>SUBTOTAL(1,S184:S186)</f>
        <v>31.419266837169648</v>
      </c>
      <c r="T187" s="87">
        <f>SUBTOTAL(1,T184:T186)</f>
        <v>1.2284933333333334</v>
      </c>
      <c r="U187" s="86">
        <f>SUBTOTAL(1,U184:U186)</f>
        <v>76.206666666666663</v>
      </c>
      <c r="V187" s="31">
        <f>SUBTOTAL(1,V184:V186)</f>
        <v>10</v>
      </c>
      <c r="W187" s="86">
        <f>SUBTOTAL(1,W184:W186)</f>
        <v>47.333333333333336</v>
      </c>
      <c r="X187" s="86">
        <f>SUBTOTAL(1,X184:X186)</f>
        <v>41.733333333333334</v>
      </c>
      <c r="Y187" s="88">
        <f>SUBTOTAL(1,Y184:Y186)</f>
        <v>3.8957475994513029</v>
      </c>
      <c r="Z187" s="88">
        <f>SUBTOTAL(1,Z184:Z186)</f>
        <v>2.0825016633399867</v>
      </c>
      <c r="AA187" s="86">
        <f>SUBTOTAL(1,AA184:AA186)</f>
        <v>111.34309433125345</v>
      </c>
      <c r="AB187" s="86">
        <f>SUBTOTAL(1,AB184:AB186)</f>
        <v>105.29615666666666</v>
      </c>
      <c r="AC187" s="85">
        <f>SUBTOTAL(1,AC184:AC186)</f>
        <v>1.0577506779950256</v>
      </c>
      <c r="AD187" s="85">
        <f>SUBTOTAL(1,AD184:AD186)</f>
        <v>-6.0469376645867925</v>
      </c>
      <c r="AE187" s="56">
        <f>SUBTOTAL(1,AE184:AE186)</f>
        <v>1.2497142566754693</v>
      </c>
    </row>
    <row r="188" spans="1:31" outlineLevel="1" x14ac:dyDescent="0.3">
      <c r="A188" s="48">
        <v>33154</v>
      </c>
      <c r="B188" s="80" t="s">
        <v>73</v>
      </c>
      <c r="C188" s="81"/>
      <c r="D188" s="95" t="s">
        <v>76</v>
      </c>
      <c r="E188" s="81"/>
      <c r="F188" s="50"/>
      <c r="G188" s="90">
        <f>SUBTOTAL(7,G184:G186)</f>
        <v>9.7351955981034823</v>
      </c>
      <c r="H188" s="31">
        <f>SUBTOTAL(7,H184:H186)</f>
        <v>14.742229591663989</v>
      </c>
      <c r="I188" s="91">
        <f>SUBTOTAL(7,I184:I186)</f>
        <v>6.010917497638939</v>
      </c>
      <c r="J188" s="92">
        <f>SUBTOTAL(7,J184:J186)</f>
        <v>2.5166114784235971E-2</v>
      </c>
      <c r="K188" s="93">
        <f>SUBTOTAL(7,K184:K186)</f>
        <v>0.27024680078279067</v>
      </c>
      <c r="L188" s="93">
        <f>SUBTOTAL(7,L184:L186)</f>
        <v>5.5152408323018474</v>
      </c>
      <c r="M188" s="93">
        <f>SUBTOTAL(7,M184:M186)</f>
        <v>0.72341781380702441</v>
      </c>
      <c r="N188" s="93">
        <f>SUBTOTAL(7,N184:N186)</f>
        <v>8.0910134524212793</v>
      </c>
      <c r="O188" s="91">
        <f>SUBTOTAL(7,O184:O186)</f>
        <v>0.46234362585264493</v>
      </c>
      <c r="P188" s="93">
        <f>SUBTOTAL(7,P184:P186)</f>
        <v>5.8960438713881169</v>
      </c>
      <c r="Q188" s="93">
        <f>SUBTOTAL(7,Q184:Q186)</f>
        <v>3.0542811483773602</v>
      </c>
      <c r="R188" s="93">
        <f>SUBTOTAL(7,R184:R186)</f>
        <v>3.5501037697319968</v>
      </c>
      <c r="S188" s="93">
        <f>SUBTOTAL(7,S184:S186)</f>
        <v>3.9806811469209582</v>
      </c>
      <c r="T188" s="93">
        <f>SUBTOTAL(7,T184:T186)</f>
        <v>0.1556446328446093</v>
      </c>
      <c r="U188" s="93">
        <f>SUBTOTAL(7,U184:U186)</f>
        <v>3.7333943447395601</v>
      </c>
      <c r="V188" s="31">
        <f>SUBTOTAL(7,V184:V186)</f>
        <v>1</v>
      </c>
      <c r="W188" s="93">
        <f>SUBTOTAL(7,W184:W186)</f>
        <v>2.6633312473917559</v>
      </c>
      <c r="X188" s="93">
        <f>SUBTOTAL(7,X184:X186)</f>
        <v>3.1069813860616127</v>
      </c>
      <c r="Y188" s="93">
        <f>SUBTOTAL(7,Y184:Y186)</f>
        <v>0.21920421789232575</v>
      </c>
      <c r="Z188" s="93">
        <f>SUBTOTAL(7,Z184:Z186)</f>
        <v>0.15503899132043966</v>
      </c>
      <c r="AA188" s="93">
        <f>SUBTOTAL(7,AA184:AA186)</f>
        <v>1.8429436104813508</v>
      </c>
      <c r="AB188" s="93">
        <f>SUBTOTAL(7,AB184:AB186)</f>
        <v>1.5437987225883278</v>
      </c>
      <c r="AC188" s="93">
        <f>SUBTOTAL(7,AC184:AC186)</f>
        <v>3.3101487787663267E-2</v>
      </c>
      <c r="AD188" s="93">
        <f>SUBTOTAL(7,AD184:AD186)</f>
        <v>3.3810287991216756</v>
      </c>
      <c r="AE188" s="91">
        <f>SUBTOTAL(7,AE184:AE186)</f>
        <v>9.7490484667545826E-2</v>
      </c>
    </row>
    <row r="189" spans="1:31" outlineLevel="3" x14ac:dyDescent="0.3">
      <c r="A189" s="48">
        <v>33154</v>
      </c>
      <c r="B189" s="80" t="s">
        <v>73</v>
      </c>
      <c r="C189" s="81" t="s">
        <v>43</v>
      </c>
      <c r="D189" s="7" t="s">
        <v>48</v>
      </c>
      <c r="E189" s="7" t="s">
        <v>45</v>
      </c>
      <c r="F189" s="50">
        <v>12</v>
      </c>
      <c r="G189" s="17">
        <v>339.69</v>
      </c>
      <c r="H189" s="6">
        <v>215</v>
      </c>
      <c r="I189" s="56">
        <v>157.99534883720929</v>
      </c>
      <c r="J189" s="19">
        <v>3.36</v>
      </c>
      <c r="K189" s="18">
        <v>3.51</v>
      </c>
      <c r="L189" s="18">
        <v>71.632653061224488</v>
      </c>
      <c r="M189" s="20">
        <v>21</v>
      </c>
      <c r="N189" s="20">
        <v>204.05003499999998</v>
      </c>
      <c r="O189" s="62">
        <v>11.660001999999999</v>
      </c>
      <c r="P189" s="20">
        <v>207.1</v>
      </c>
      <c r="Q189" s="20">
        <v>33.49</v>
      </c>
      <c r="R189" s="20">
        <v>86.777038000000005</v>
      </c>
      <c r="S189" s="20">
        <v>44.991304347826087</v>
      </c>
      <c r="T189" s="21">
        <v>1.7591600000000001</v>
      </c>
      <c r="U189" s="20">
        <v>84.56</v>
      </c>
      <c r="V189" s="6">
        <v>12</v>
      </c>
      <c r="W189" s="20">
        <v>49.6</v>
      </c>
      <c r="X189" s="20">
        <v>46</v>
      </c>
      <c r="Y189" s="22">
        <v>4.0823045267489713</v>
      </c>
      <c r="Z189" s="22">
        <v>2.2954091816367268</v>
      </c>
      <c r="AA189" s="20">
        <v>123.00167111743627</v>
      </c>
      <c r="AB189" s="20">
        <v>120.26703800000001</v>
      </c>
      <c r="AC189" s="18">
        <v>1.0227380100392616</v>
      </c>
      <c r="AD189" s="18">
        <v>-2.7346331174362604</v>
      </c>
      <c r="AE189" s="56">
        <v>0.96437566389640517</v>
      </c>
    </row>
    <row r="190" spans="1:31" outlineLevel="3" x14ac:dyDescent="0.3">
      <c r="A190" s="48">
        <v>33154</v>
      </c>
      <c r="B190" s="80" t="s">
        <v>73</v>
      </c>
      <c r="C190" s="81" t="s">
        <v>43</v>
      </c>
      <c r="D190" s="7" t="s">
        <v>48</v>
      </c>
      <c r="E190" s="7" t="s">
        <v>46</v>
      </c>
      <c r="F190" s="50">
        <v>13</v>
      </c>
      <c r="G190" s="17">
        <v>285.36</v>
      </c>
      <c r="H190" s="6">
        <v>196</v>
      </c>
      <c r="I190" s="56">
        <v>145.59183673469389</v>
      </c>
      <c r="J190" s="19">
        <v>3.49</v>
      </c>
      <c r="K190" s="18">
        <v>3.05</v>
      </c>
      <c r="L190" s="18">
        <v>62.244897959183668</v>
      </c>
      <c r="M190" s="20">
        <v>20.5</v>
      </c>
      <c r="N190" s="20">
        <v>198.44670874999997</v>
      </c>
      <c r="O190" s="62">
        <v>11.339811928571427</v>
      </c>
      <c r="P190" s="20">
        <v>199.4</v>
      </c>
      <c r="Q190" s="20">
        <v>30.01</v>
      </c>
      <c r="R190" s="20">
        <v>87.256661999999992</v>
      </c>
      <c r="S190" s="20">
        <v>52.523785166240401</v>
      </c>
      <c r="T190" s="21">
        <v>2.0536799999999999</v>
      </c>
      <c r="U190" s="20">
        <v>85.27</v>
      </c>
      <c r="V190" s="6">
        <v>13</v>
      </c>
      <c r="W190" s="20">
        <v>56.4</v>
      </c>
      <c r="X190" s="20">
        <v>54.4</v>
      </c>
      <c r="Y190" s="22">
        <v>4.6419753086419755</v>
      </c>
      <c r="Z190" s="22">
        <v>2.7145708582834334</v>
      </c>
      <c r="AA190" s="20">
        <v>122.12522929234949</v>
      </c>
      <c r="AB190" s="20">
        <v>117.266662</v>
      </c>
      <c r="AC190" s="18">
        <v>1.0414317864044726</v>
      </c>
      <c r="AD190" s="18">
        <v>-4.8585672923494911</v>
      </c>
      <c r="AE190" s="56">
        <v>0.83063950669042896</v>
      </c>
    </row>
    <row r="191" spans="1:31" outlineLevel="3" x14ac:dyDescent="0.3">
      <c r="A191" s="48">
        <v>33154</v>
      </c>
      <c r="B191" s="80" t="s">
        <v>73</v>
      </c>
      <c r="C191" s="81" t="s">
        <v>43</v>
      </c>
      <c r="D191" s="7" t="s">
        <v>48</v>
      </c>
      <c r="E191" s="7" t="s">
        <v>47</v>
      </c>
      <c r="F191" s="50">
        <v>14</v>
      </c>
      <c r="G191" s="17">
        <v>355.86</v>
      </c>
      <c r="H191" s="6">
        <v>228</v>
      </c>
      <c r="I191" s="56">
        <v>156.07894736842104</v>
      </c>
      <c r="J191" s="19">
        <v>3.27</v>
      </c>
      <c r="K191" s="18">
        <v>3.68</v>
      </c>
      <c r="L191" s="18">
        <v>75.102040816326536</v>
      </c>
      <c r="M191" s="20">
        <v>20.100000000000001</v>
      </c>
      <c r="N191" s="20">
        <v>193.97838834999999</v>
      </c>
      <c r="O191" s="62">
        <v>11.084479334285714</v>
      </c>
      <c r="P191" s="20">
        <v>196.1</v>
      </c>
      <c r="Q191" s="20">
        <v>30.2</v>
      </c>
      <c r="R191" s="20">
        <v>88.179240000000007</v>
      </c>
      <c r="S191" s="20">
        <v>45.602046035805628</v>
      </c>
      <c r="T191" s="21">
        <v>1.7830400000000002</v>
      </c>
      <c r="U191" s="20">
        <v>86.18</v>
      </c>
      <c r="V191" s="6">
        <v>14</v>
      </c>
      <c r="W191" s="20">
        <v>47.6</v>
      </c>
      <c r="X191" s="20">
        <v>47.2</v>
      </c>
      <c r="Y191" s="22">
        <v>3.9176954732510283</v>
      </c>
      <c r="Z191" s="22">
        <v>2.3552894211576847</v>
      </c>
      <c r="AA191" s="20">
        <v>126.97707174654087</v>
      </c>
      <c r="AB191" s="20">
        <v>118.37924000000001</v>
      </c>
      <c r="AC191" s="18">
        <v>1.0726295568930908</v>
      </c>
      <c r="AD191" s="18">
        <v>-8.5978317465408622</v>
      </c>
      <c r="AE191" s="56">
        <v>0.96683425049353922</v>
      </c>
    </row>
    <row r="192" spans="1:31" outlineLevel="2" x14ac:dyDescent="0.3">
      <c r="A192" s="48">
        <v>33154</v>
      </c>
      <c r="B192" s="80" t="s">
        <v>73</v>
      </c>
      <c r="C192" s="81"/>
      <c r="D192" s="89" t="s">
        <v>80</v>
      </c>
      <c r="E192" s="7"/>
      <c r="F192" s="50"/>
      <c r="G192" s="17">
        <f>SUBTOTAL(1,G189:G191)</f>
        <v>326.96999999999997</v>
      </c>
      <c r="H192" s="6">
        <f>SUBTOTAL(1,H189:H191)</f>
        <v>213</v>
      </c>
      <c r="I192" s="56">
        <f>SUBTOTAL(1,I189:I191)</f>
        <v>153.22204431344142</v>
      </c>
      <c r="J192" s="19">
        <f>SUBTOTAL(1,J189:J191)</f>
        <v>3.3733333333333331</v>
      </c>
      <c r="K192" s="18">
        <f>SUBTOTAL(1,K189:K191)</f>
        <v>3.4133333333333336</v>
      </c>
      <c r="L192" s="18">
        <f>SUBTOTAL(1,L189:L191)</f>
        <v>69.659863945578238</v>
      </c>
      <c r="M192" s="20">
        <f>SUBTOTAL(1,M189:M191)</f>
        <v>20.533333333333335</v>
      </c>
      <c r="N192" s="20">
        <f>SUBTOTAL(1,N189:N191)</f>
        <v>198.82504403333328</v>
      </c>
      <c r="O192" s="62">
        <f>SUBTOTAL(1,O189:O191)</f>
        <v>11.361431087619048</v>
      </c>
      <c r="P192" s="20">
        <f>SUBTOTAL(1,P189:P191)</f>
        <v>200.86666666666667</v>
      </c>
      <c r="Q192" s="20">
        <f>SUBTOTAL(1,Q189:Q191)</f>
        <v>31.233333333333334</v>
      </c>
      <c r="R192" s="20">
        <f>SUBTOTAL(1,R189:R191)</f>
        <v>87.404313333333334</v>
      </c>
      <c r="S192" s="20">
        <f>SUBTOTAL(1,S189:S191)</f>
        <v>47.705711849957368</v>
      </c>
      <c r="T192" s="21">
        <f>SUBTOTAL(1,T189:T191)</f>
        <v>1.8652933333333335</v>
      </c>
      <c r="U192" s="20">
        <f>SUBTOTAL(1,U189:U191)</f>
        <v>85.336666666666659</v>
      </c>
      <c r="V192" s="6">
        <f>SUBTOTAL(1,V189:V191)</f>
        <v>13</v>
      </c>
      <c r="W192" s="20">
        <f>SUBTOTAL(1,W189:W191)</f>
        <v>51.199999999999996</v>
      </c>
      <c r="X192" s="20">
        <f>SUBTOTAL(1,X189:X191)</f>
        <v>49.20000000000001</v>
      </c>
      <c r="Y192" s="22">
        <f>SUBTOTAL(1,Y189:Y191)</f>
        <v>4.2139917695473246</v>
      </c>
      <c r="Z192" s="22">
        <f>SUBTOTAL(1,Z189:Z191)</f>
        <v>2.4550898203592815</v>
      </c>
      <c r="AA192" s="20">
        <f>SUBTOTAL(1,AA189:AA191)</f>
        <v>124.03465738544223</v>
      </c>
      <c r="AB192" s="20">
        <f>SUBTOTAL(1,AB189:AB191)</f>
        <v>118.63764666666668</v>
      </c>
      <c r="AC192" s="18">
        <f>SUBTOTAL(1,AC189:AC191)</f>
        <v>1.0455997844456084</v>
      </c>
      <c r="AD192" s="18">
        <f>SUBTOTAL(1,AD189:AD191)</f>
        <v>-5.3970107187755376</v>
      </c>
      <c r="AE192" s="56">
        <f>SUBTOTAL(1,AE189:AE191)</f>
        <v>0.92061647369345778</v>
      </c>
    </row>
    <row r="193" spans="1:31" outlineLevel="1" x14ac:dyDescent="0.3">
      <c r="A193" s="48">
        <v>33154</v>
      </c>
      <c r="B193" s="80" t="s">
        <v>73</v>
      </c>
      <c r="C193" s="81"/>
      <c r="D193" s="89" t="s">
        <v>77</v>
      </c>
      <c r="E193" s="7"/>
      <c r="F193" s="50"/>
      <c r="G193" s="90">
        <f>SUBTOTAL(7,G189:G191)</f>
        <v>36.931169762139945</v>
      </c>
      <c r="H193" s="6">
        <f>SUBTOTAL(7,H189:H191)</f>
        <v>16.093476939431081</v>
      </c>
      <c r="I193" s="91">
        <f>SUBTOTAL(7,I189:I191)</f>
        <v>6.6770651800379728</v>
      </c>
      <c r="J193" s="92">
        <f>SUBTOTAL(7,J189:J191)</f>
        <v>0.1106044001535805</v>
      </c>
      <c r="K193" s="94">
        <f>SUBTOTAL(7,K189:K191)</f>
        <v>0.32593455375785707</v>
      </c>
      <c r="L193" s="94">
        <f>SUBTOTAL(7,L189:L191)</f>
        <v>6.6517255868950445</v>
      </c>
      <c r="M193" s="94">
        <f>SUBTOTAL(7,M189:M191)</f>
        <v>0.45092497528228875</v>
      </c>
      <c r="N193" s="94">
        <f>SUBTOTAL(7,N189:N191)</f>
        <v>5.0464710194922553</v>
      </c>
      <c r="O193" s="91">
        <f>SUBTOTAL(7,O189:O191)</f>
        <v>0.28836977254241442</v>
      </c>
      <c r="P193" s="94">
        <f>SUBTOTAL(7,P189:P191)</f>
        <v>5.6447615833915714</v>
      </c>
      <c r="Q193" s="94">
        <f>SUBTOTAL(7,Q189:Q191)</f>
        <v>1.9566382735021148</v>
      </c>
      <c r="R193" s="94">
        <f>SUBTOTAL(7,R189:R191)</f>
        <v>0.71266633102549282</v>
      </c>
      <c r="S193" s="94">
        <f>SUBTOTAL(7,S189:S191)</f>
        <v>4.1837332865716874</v>
      </c>
      <c r="T193" s="94">
        <f>SUBTOTAL(7,T189:T191)</f>
        <v>0.16358397150495307</v>
      </c>
      <c r="U193" s="94">
        <f>SUBTOTAL(7,U189:U191)</f>
        <v>0.81205500634706851</v>
      </c>
      <c r="V193" s="6">
        <f>SUBTOTAL(7,V189:V191)</f>
        <v>1</v>
      </c>
      <c r="W193" s="94">
        <f>SUBTOTAL(7,W189:W191)</f>
        <v>4.6130250378683169</v>
      </c>
      <c r="X193" s="94">
        <f>SUBTOTAL(7,X189:X191)</f>
        <v>4.5431266766402176</v>
      </c>
      <c r="Y193" s="94">
        <f>SUBTOTAL(7,Y189:Y191)</f>
        <v>0.37967284262290718</v>
      </c>
      <c r="Z193" s="94">
        <f>SUBTOTAL(7,Z189:Z191)</f>
        <v>0.22670292797605884</v>
      </c>
      <c r="AA193" s="94">
        <f>SUBTOTAL(7,AA189:AA191)</f>
        <v>2.585611972529926</v>
      </c>
      <c r="AB193" s="94">
        <f>SUBTOTAL(7,AB189:AB191)</f>
        <v>1.5167875722649355</v>
      </c>
      <c r="AC193" s="94">
        <f>SUBTOTAL(7,AC189:AC191)</f>
        <v>2.5205570170502845E-2</v>
      </c>
      <c r="AD193" s="94">
        <f>SUBTOTAL(7,AD189:AD191)</f>
        <v>2.9684533908551756</v>
      </c>
      <c r="AE193" s="91">
        <f>SUBTOTAL(7,AE189:AE191)</f>
        <v>7.7932035167266128E-2</v>
      </c>
    </row>
    <row r="194" spans="1:31" outlineLevel="3" x14ac:dyDescent="0.3">
      <c r="A194" s="48">
        <v>33154</v>
      </c>
      <c r="B194" s="80" t="s">
        <v>73</v>
      </c>
      <c r="C194" s="81" t="s">
        <v>43</v>
      </c>
      <c r="D194" s="7" t="s">
        <v>49</v>
      </c>
      <c r="E194" s="7" t="s">
        <v>45</v>
      </c>
      <c r="F194" s="50">
        <v>15</v>
      </c>
      <c r="G194" s="17">
        <v>342.9</v>
      </c>
      <c r="H194" s="6">
        <v>226</v>
      </c>
      <c r="I194" s="56">
        <v>151.72566371681415</v>
      </c>
      <c r="J194" s="19">
        <v>3.58</v>
      </c>
      <c r="K194" s="18">
        <v>3.63</v>
      </c>
      <c r="L194" s="18">
        <v>74.08163265306122</v>
      </c>
      <c r="M194" s="20">
        <v>20.3</v>
      </c>
      <c r="N194" s="20">
        <v>196.21095514999999</v>
      </c>
      <c r="O194" s="62">
        <v>11.21205458</v>
      </c>
      <c r="P194" s="20">
        <v>197</v>
      </c>
      <c r="Q194" s="20">
        <v>39.619999999999997</v>
      </c>
      <c r="R194" s="20">
        <v>84.202843999999999</v>
      </c>
      <c r="S194" s="20">
        <v>52.523785166240401</v>
      </c>
      <c r="T194" s="21">
        <v>2.0536799999999999</v>
      </c>
      <c r="U194" s="20">
        <v>81.58</v>
      </c>
      <c r="V194" s="6">
        <v>15</v>
      </c>
      <c r="W194" s="20">
        <v>51.2</v>
      </c>
      <c r="X194" s="20">
        <v>48</v>
      </c>
      <c r="Y194" s="22">
        <v>4.2139917695473255</v>
      </c>
      <c r="Z194" s="22">
        <v>2.3952095808383236</v>
      </c>
      <c r="AA194" s="20">
        <v>133.21461916968727</v>
      </c>
      <c r="AB194" s="20">
        <v>123.822844</v>
      </c>
      <c r="AC194" s="18">
        <v>1.0758484853545058</v>
      </c>
      <c r="AD194" s="18">
        <v>-9.3917751696872642</v>
      </c>
      <c r="AE194" s="56">
        <v>0.80156869629153527</v>
      </c>
    </row>
    <row r="195" spans="1:31" outlineLevel="3" x14ac:dyDescent="0.3">
      <c r="A195" s="48">
        <v>33154</v>
      </c>
      <c r="B195" s="80" t="s">
        <v>73</v>
      </c>
      <c r="C195" s="81" t="s">
        <v>43</v>
      </c>
      <c r="D195" s="7" t="s">
        <v>49</v>
      </c>
      <c r="E195" s="7" t="s">
        <v>46</v>
      </c>
      <c r="F195" s="50">
        <v>16</v>
      </c>
      <c r="G195" s="17">
        <v>340.69</v>
      </c>
      <c r="H195" s="6">
        <v>220</v>
      </c>
      <c r="I195" s="56">
        <v>154.85909090909092</v>
      </c>
      <c r="J195" s="19">
        <v>3.73</v>
      </c>
      <c r="K195" s="18">
        <v>3.13</v>
      </c>
      <c r="L195" s="18">
        <v>63.877551020408163</v>
      </c>
      <c r="M195" s="20">
        <v>21.2</v>
      </c>
      <c r="N195" s="20">
        <v>206.29694239999998</v>
      </c>
      <c r="O195" s="62">
        <v>11.788396708571428</v>
      </c>
      <c r="P195" s="20">
        <v>206.5</v>
      </c>
      <c r="Q195" s="20">
        <v>35.97</v>
      </c>
      <c r="R195" s="20">
        <v>82.571213999999998</v>
      </c>
      <c r="S195" s="20">
        <v>55.984654731457802</v>
      </c>
      <c r="T195" s="21">
        <v>2.1890000000000001</v>
      </c>
      <c r="U195" s="20">
        <v>80.19</v>
      </c>
      <c r="V195" s="6">
        <v>16</v>
      </c>
      <c r="W195" s="20">
        <v>53.2</v>
      </c>
      <c r="X195" s="20">
        <v>49.2</v>
      </c>
      <c r="Y195" s="22">
        <v>4.378600823045268</v>
      </c>
      <c r="Z195" s="22">
        <v>2.4550898203592815</v>
      </c>
      <c r="AA195" s="20">
        <v>126.69589639527051</v>
      </c>
      <c r="AB195" s="20">
        <v>118.541214</v>
      </c>
      <c r="AC195" s="18">
        <v>1.068791959522791</v>
      </c>
      <c r="AD195" s="18">
        <v>-8.1546823952705125</v>
      </c>
      <c r="AE195" s="56">
        <v>0.73744505879396982</v>
      </c>
    </row>
    <row r="196" spans="1:31" outlineLevel="3" x14ac:dyDescent="0.3">
      <c r="A196" s="48">
        <v>33154</v>
      </c>
      <c r="B196" s="80" t="s">
        <v>73</v>
      </c>
      <c r="C196" s="81" t="s">
        <v>43</v>
      </c>
      <c r="D196" s="7" t="s">
        <v>49</v>
      </c>
      <c r="E196" s="81" t="s">
        <v>47</v>
      </c>
      <c r="F196" s="50">
        <v>17</v>
      </c>
      <c r="G196" s="17">
        <v>242.64</v>
      </c>
      <c r="H196" s="31">
        <v>178</v>
      </c>
      <c r="I196" s="56">
        <v>136.31460674157302</v>
      </c>
      <c r="J196" s="19">
        <v>3.69</v>
      </c>
      <c r="K196" s="85">
        <v>2.95</v>
      </c>
      <c r="L196" s="85">
        <v>60.204081632653065</v>
      </c>
      <c r="M196" s="86">
        <v>20</v>
      </c>
      <c r="N196" s="86">
        <v>192.86329999999998</v>
      </c>
      <c r="O196" s="62">
        <v>11.020759999999999</v>
      </c>
      <c r="P196" s="86">
        <v>193.7</v>
      </c>
      <c r="Q196" s="86">
        <v>31.17</v>
      </c>
      <c r="R196" s="86">
        <v>84.303453999999988</v>
      </c>
      <c r="S196" s="86">
        <v>54.559590792838875</v>
      </c>
      <c r="T196" s="87">
        <v>2.1332800000000001</v>
      </c>
      <c r="U196" s="86">
        <v>82.24</v>
      </c>
      <c r="V196" s="31">
        <v>17</v>
      </c>
      <c r="W196" s="86">
        <v>54</v>
      </c>
      <c r="X196" s="86">
        <v>52</v>
      </c>
      <c r="Y196" s="88">
        <v>4.4444444444444446</v>
      </c>
      <c r="Z196" s="88">
        <v>2.5948103792415171</v>
      </c>
      <c r="AA196" s="86">
        <v>121.8029272491779</v>
      </c>
      <c r="AB196" s="86">
        <v>115.47345399999999</v>
      </c>
      <c r="AC196" s="85">
        <v>1.0548132322185315</v>
      </c>
      <c r="AD196" s="85">
        <v>-6.3294732491779087</v>
      </c>
      <c r="AE196" s="56">
        <v>0.77258143595777384</v>
      </c>
    </row>
    <row r="197" spans="1:31" outlineLevel="2" x14ac:dyDescent="0.3">
      <c r="A197" s="48">
        <v>33154</v>
      </c>
      <c r="B197" s="80" t="s">
        <v>73</v>
      </c>
      <c r="C197" s="81"/>
      <c r="D197" s="89" t="s">
        <v>81</v>
      </c>
      <c r="E197" s="81"/>
      <c r="F197" s="31"/>
      <c r="G197" s="96">
        <f>SUBTOTAL(1,G194:G196)</f>
        <v>308.74333333333328</v>
      </c>
      <c r="H197" s="31">
        <f>SUBTOTAL(1,H194:H196)</f>
        <v>208</v>
      </c>
      <c r="I197" s="85">
        <f>SUBTOTAL(1,I194:I196)</f>
        <v>147.63312045582603</v>
      </c>
      <c r="J197" s="85">
        <f>SUBTOTAL(1,J194:J196)</f>
        <v>3.6666666666666665</v>
      </c>
      <c r="K197" s="85">
        <f>SUBTOTAL(1,K194:K196)</f>
        <v>3.2366666666666668</v>
      </c>
      <c r="L197" s="85">
        <f>SUBTOTAL(1,L194:L196)</f>
        <v>66.054421768707485</v>
      </c>
      <c r="M197" s="86">
        <f>SUBTOTAL(1,M194:M196)</f>
        <v>20.5</v>
      </c>
      <c r="N197" s="86">
        <f>SUBTOTAL(1,N194:N196)</f>
        <v>198.45706584999996</v>
      </c>
      <c r="O197" s="86">
        <f>SUBTOTAL(1,O194:O196)</f>
        <v>11.340403762857141</v>
      </c>
      <c r="P197" s="86">
        <f>SUBTOTAL(1,P194:P196)</f>
        <v>199.06666666666669</v>
      </c>
      <c r="Q197" s="86">
        <f>SUBTOTAL(1,Q194:Q196)</f>
        <v>35.586666666666666</v>
      </c>
      <c r="R197" s="86">
        <f>SUBTOTAL(1,R194:R196)</f>
        <v>83.692504</v>
      </c>
      <c r="S197" s="86">
        <f>SUBTOTAL(1,S194:S196)</f>
        <v>54.356010230179017</v>
      </c>
      <c r="T197" s="87">
        <f>SUBTOTAL(1,T194:T196)</f>
        <v>2.1253199999999999</v>
      </c>
      <c r="U197" s="86">
        <f>SUBTOTAL(1,U194:U196)</f>
        <v>81.336666666666659</v>
      </c>
      <c r="V197" s="31">
        <f>SUBTOTAL(1,V194:V196)</f>
        <v>16</v>
      </c>
      <c r="W197" s="86">
        <f>SUBTOTAL(1,W194:W196)</f>
        <v>52.800000000000004</v>
      </c>
      <c r="X197" s="86">
        <f>SUBTOTAL(1,X194:X196)</f>
        <v>49.733333333333327</v>
      </c>
      <c r="Y197" s="88">
        <f>SUBTOTAL(1,Y194:Y196)</f>
        <v>4.3456790123456797</v>
      </c>
      <c r="Z197" s="88">
        <f>SUBTOTAL(1,Z194:Z196)</f>
        <v>2.4817032601463738</v>
      </c>
      <c r="AA197" s="86">
        <f>SUBTOTAL(1,AA194:AA196)</f>
        <v>127.23781427137857</v>
      </c>
      <c r="AB197" s="86">
        <f>SUBTOTAL(1,AB194:AB196)</f>
        <v>119.27917066666667</v>
      </c>
      <c r="AC197" s="85">
        <f>SUBTOTAL(1,AC194:AC196)</f>
        <v>1.0664845590319427</v>
      </c>
      <c r="AD197" s="85">
        <f>SUBTOTAL(1,AD194:AD196)</f>
        <v>-7.9586436047118951</v>
      </c>
      <c r="AE197" s="85">
        <f>SUBTOTAL(1,AE194:AE196)</f>
        <v>0.77053173034775957</v>
      </c>
    </row>
    <row r="198" spans="1:31" outlineLevel="1" x14ac:dyDescent="0.3">
      <c r="A198" s="48">
        <v>33154</v>
      </c>
      <c r="B198" s="80" t="s">
        <v>73</v>
      </c>
      <c r="C198" s="81"/>
      <c r="D198" s="89" t="s">
        <v>78</v>
      </c>
      <c r="E198" s="81"/>
      <c r="F198" s="31"/>
      <c r="G198" s="97">
        <f>SUBTOTAL(7,G194:G196)</f>
        <v>57.257829450070382</v>
      </c>
      <c r="H198" s="31">
        <f>SUBTOTAL(7,H194:H196)</f>
        <v>26.153393661244042</v>
      </c>
      <c r="I198" s="93">
        <f>SUBTOTAL(7,I194:I196)</f>
        <v>9.9265379673441565</v>
      </c>
      <c r="J198" s="93">
        <f>SUBTOTAL(7,J194:J196)</f>
        <v>7.7674534651540228E-2</v>
      </c>
      <c r="K198" s="93">
        <f>SUBTOTAL(7,K194:K196)</f>
        <v>0.35232560697930149</v>
      </c>
      <c r="L198" s="93">
        <f>SUBTOTAL(7,L194:L196)</f>
        <v>7.1903185097816626</v>
      </c>
      <c r="M198" s="93">
        <f>SUBTOTAL(7,M194:M196)</f>
        <v>0.62449979983983928</v>
      </c>
      <c r="N198" s="93">
        <f>SUBTOTAL(7,N194:N196)</f>
        <v>6.992813953642715</v>
      </c>
      <c r="O198" s="93">
        <f>SUBTOTAL(7,O194:O196)</f>
        <v>0.39958936877958373</v>
      </c>
      <c r="P198" s="93">
        <f>SUBTOTAL(7,P194:P196)</f>
        <v>6.6455498894623757</v>
      </c>
      <c r="Q198" s="93">
        <f>SUBTOTAL(7,Q194:Q196)</f>
        <v>4.2380223375217501</v>
      </c>
      <c r="R198" s="93">
        <f>SUBTOTAL(7,R194:R196)</f>
        <v>0.97236774992797581</v>
      </c>
      <c r="S198" s="93">
        <f>SUBTOTAL(7,S194:S196)</f>
        <v>1.7393930898395842</v>
      </c>
      <c r="T198" s="93">
        <f>SUBTOTAL(7,T194:T196)</f>
        <v>6.8010269812727606E-2</v>
      </c>
      <c r="U198" s="93">
        <f>SUBTOTAL(7,U194:U196)</f>
        <v>1.0464384039843582</v>
      </c>
      <c r="V198" s="31">
        <f>SUBTOTAL(7,V194:V196)</f>
        <v>1</v>
      </c>
      <c r="W198" s="93">
        <f>SUBTOTAL(7,W194:W196)</f>
        <v>1.4422205101855945</v>
      </c>
      <c r="X198" s="93">
        <f>SUBTOTAL(7,X194:X196)</f>
        <v>2.0526405757787529</v>
      </c>
      <c r="Y198" s="93">
        <f>SUBTOTAL(7,Y194:Y196)</f>
        <v>0.1187012765584852</v>
      </c>
      <c r="Z198" s="93">
        <f>SUBTOTAL(7,Z194:Z196)</f>
        <v>0.10242717444005757</v>
      </c>
      <c r="AA198" s="93">
        <f>SUBTOTAL(7,AA194:AA196)</f>
        <v>5.7251143534857709</v>
      </c>
      <c r="AB198" s="93">
        <f>SUBTOTAL(7,AB194:AB196)</f>
        <v>4.2233296549563111</v>
      </c>
      <c r="AC198" s="93">
        <f>SUBTOTAL(7,AC194:AC196)</f>
        <v>1.0705771405765415E-2</v>
      </c>
      <c r="AD198" s="93">
        <f>SUBTOTAL(7,AD194:AD196)</f>
        <v>1.5405345399054138</v>
      </c>
      <c r="AE198" s="93">
        <f>SUBTOTAL(7,AE194:AE196)</f>
        <v>3.2110920125334126E-2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1"/>
  <sheetViews>
    <sheetView tabSelected="1" topLeftCell="M1" workbookViewId="0">
      <selection activeCell="AB22" sqref="AB22"/>
    </sheetView>
  </sheetViews>
  <sheetFormatPr baseColWidth="10" defaultRowHeight="14.4" x14ac:dyDescent="0.3"/>
  <cols>
    <col min="1" max="1" width="5" bestFit="1" customWidth="1"/>
    <col min="2" max="2" width="13.5546875" bestFit="1" customWidth="1"/>
    <col min="3" max="4" width="6.44140625" bestFit="1" customWidth="1"/>
    <col min="5" max="5" width="8.6640625" bestFit="1" customWidth="1"/>
    <col min="6" max="6" width="4.44140625" bestFit="1" customWidth="1"/>
    <col min="7" max="7" width="7.5546875" bestFit="1" customWidth="1"/>
    <col min="8" max="8" width="6.44140625" bestFit="1" customWidth="1"/>
    <col min="9" max="9" width="6.6640625" bestFit="1" customWidth="1"/>
    <col min="10" max="10" width="7.5546875" bestFit="1" customWidth="1"/>
    <col min="11" max="11" width="8.21875" bestFit="1" customWidth="1"/>
    <col min="12" max="12" width="6.44140625" bestFit="1" customWidth="1"/>
    <col min="13" max="13" width="7.5546875" bestFit="1" customWidth="1"/>
    <col min="14" max="14" width="7" bestFit="1" customWidth="1"/>
    <col min="15" max="15" width="5.77734375" bestFit="1" customWidth="1"/>
    <col min="16" max="16" width="4.44140625" bestFit="1" customWidth="1"/>
    <col min="17" max="17" width="7" bestFit="1" customWidth="1"/>
    <col min="18" max="19" width="5.44140625" bestFit="1" customWidth="1"/>
    <col min="20" max="20" width="6.44140625" bestFit="1" customWidth="1"/>
    <col min="21" max="22" width="5.77734375" bestFit="1" customWidth="1"/>
    <col min="23" max="23" width="6.6640625" bestFit="1" customWidth="1"/>
    <col min="24" max="24" width="7.77734375" bestFit="1" customWidth="1"/>
    <col min="25" max="25" width="4.44140625" bestFit="1" customWidth="1"/>
    <col min="26" max="26" width="12.88671875" bestFit="1" customWidth="1"/>
    <col min="27" max="27" width="5.88671875" bestFit="1" customWidth="1"/>
  </cols>
  <sheetData>
    <row r="1" spans="1:27" x14ac:dyDescent="0.3">
      <c r="C1" t="s">
        <v>0</v>
      </c>
      <c r="D1" t="s">
        <v>1</v>
      </c>
      <c r="E1" t="s">
        <v>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6</v>
      </c>
      <c r="N1" t="s">
        <v>8</v>
      </c>
      <c r="Q1" t="s">
        <v>8</v>
      </c>
      <c r="W1" t="s">
        <v>9</v>
      </c>
      <c r="X1" t="s">
        <v>10</v>
      </c>
      <c r="Z1" t="s">
        <v>11</v>
      </c>
      <c r="AA1" t="s">
        <v>12</v>
      </c>
    </row>
    <row r="2" spans="1:27" x14ac:dyDescent="0.3">
      <c r="C2" t="s">
        <v>13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23</v>
      </c>
      <c r="Q2" t="s">
        <v>24</v>
      </c>
      <c r="S2" t="s">
        <v>25</v>
      </c>
      <c r="T2" t="s">
        <v>26</v>
      </c>
      <c r="U2" t="s">
        <v>25</v>
      </c>
      <c r="V2" t="s">
        <v>26</v>
      </c>
      <c r="W2" t="s">
        <v>27</v>
      </c>
      <c r="Z2" t="s">
        <v>28</v>
      </c>
      <c r="AA2" t="s">
        <v>29</v>
      </c>
    </row>
    <row r="3" spans="1:27" x14ac:dyDescent="0.3">
      <c r="A3" t="s">
        <v>60</v>
      </c>
      <c r="B3" t="s">
        <v>75</v>
      </c>
      <c r="C3" t="s">
        <v>30</v>
      </c>
      <c r="E3" t="s">
        <v>30</v>
      </c>
      <c r="G3" t="s">
        <v>31</v>
      </c>
      <c r="J3" t="s">
        <v>31</v>
      </c>
      <c r="L3" t="s">
        <v>31</v>
      </c>
      <c r="M3" t="s">
        <v>16</v>
      </c>
      <c r="N3" t="s">
        <v>16</v>
      </c>
      <c r="O3" t="s">
        <v>16</v>
      </c>
      <c r="P3" t="s">
        <v>31</v>
      </c>
      <c r="Q3" t="s">
        <v>16</v>
      </c>
      <c r="S3" t="s">
        <v>32</v>
      </c>
      <c r="T3" t="s">
        <v>32</v>
      </c>
      <c r="U3" t="s">
        <v>16</v>
      </c>
      <c r="V3" t="s">
        <v>16</v>
      </c>
      <c r="W3" t="s">
        <v>16</v>
      </c>
      <c r="X3" t="s">
        <v>16</v>
      </c>
      <c r="Y3" t="s">
        <v>33</v>
      </c>
      <c r="Z3" t="s">
        <v>16</v>
      </c>
      <c r="AA3" t="s">
        <v>34</v>
      </c>
    </row>
    <row r="4" spans="1:27" x14ac:dyDescent="0.3">
      <c r="A4" s="100" t="s">
        <v>61</v>
      </c>
      <c r="B4" t="s">
        <v>79</v>
      </c>
      <c r="C4" s="99">
        <v>118.18333333333334</v>
      </c>
      <c r="D4" s="99">
        <v>176.66666666666666</v>
      </c>
      <c r="E4" s="99">
        <v>66.845817029184573</v>
      </c>
      <c r="F4" s="99">
        <v>2.5133333333333332</v>
      </c>
      <c r="G4" s="99">
        <v>24.143333333333334</v>
      </c>
      <c r="H4" s="99">
        <v>492.72108843537416</v>
      </c>
      <c r="I4" s="99">
        <v>4</v>
      </c>
      <c r="J4" s="99">
        <v>24.710660000000001</v>
      </c>
      <c r="K4" s="99">
        <v>1.4120377142857141</v>
      </c>
      <c r="L4" s="99">
        <v>6.4316666666666675</v>
      </c>
      <c r="M4" s="99">
        <v>436.08333333333331</v>
      </c>
      <c r="N4" s="99">
        <v>155.64271666666664</v>
      </c>
      <c r="O4" s="99">
        <v>15.675703324808183</v>
      </c>
      <c r="P4" s="99">
        <v>0.61292000000000002</v>
      </c>
      <c r="Q4" s="99">
        <v>126.774</v>
      </c>
      <c r="R4" s="99">
        <v>10</v>
      </c>
      <c r="S4" s="99">
        <v>30.666666666666668</v>
      </c>
      <c r="T4" s="99">
        <v>69.2</v>
      </c>
      <c r="U4" s="99">
        <v>2.5240054869684498</v>
      </c>
      <c r="V4" s="99">
        <v>3.4530938123752493</v>
      </c>
      <c r="W4" s="99">
        <v>514.37389105952604</v>
      </c>
      <c r="X4" s="99">
        <v>591.7260500000001</v>
      </c>
      <c r="Y4" s="99">
        <v>0.87162588198188118</v>
      </c>
      <c r="Z4" s="99">
        <v>77.352158940473984</v>
      </c>
      <c r="AA4" s="99">
        <v>4.9807686071010755</v>
      </c>
    </row>
    <row r="5" spans="1:27" x14ac:dyDescent="0.3">
      <c r="A5" s="100" t="s">
        <v>62</v>
      </c>
      <c r="B5" t="s">
        <v>79</v>
      </c>
      <c r="C5" s="99">
        <v>133.52333333333334</v>
      </c>
      <c r="D5" s="99">
        <v>183.66666666666666</v>
      </c>
      <c r="E5" s="99">
        <v>72.706737691223069</v>
      </c>
      <c r="F5" s="99">
        <v>2.563333333333333</v>
      </c>
      <c r="G5" s="99">
        <v>24.016666666666669</v>
      </c>
      <c r="H5" s="99">
        <v>490.13605442176873</v>
      </c>
      <c r="I5" s="99">
        <v>4.5666666666666664</v>
      </c>
      <c r="J5" s="99">
        <v>30.317775316666658</v>
      </c>
      <c r="K5" s="99">
        <v>1.7324443038095234</v>
      </c>
      <c r="L5" s="99">
        <v>10.374166666666667</v>
      </c>
      <c r="M5" s="99">
        <v>409.88333333333327</v>
      </c>
      <c r="N5" s="99">
        <v>146.14064333333332</v>
      </c>
      <c r="O5" s="99">
        <v>16.693606138107416</v>
      </c>
      <c r="P5" s="99">
        <v>0.65271999999999997</v>
      </c>
      <c r="Q5" s="99">
        <v>119.00636666666666</v>
      </c>
      <c r="R5" s="99">
        <v>10</v>
      </c>
      <c r="S5" s="99">
        <v>27.066666666666666</v>
      </c>
      <c r="T5" s="99">
        <v>75.333333333333329</v>
      </c>
      <c r="U5" s="99">
        <v>2.2277091906721531</v>
      </c>
      <c r="V5" s="99">
        <v>3.7591483699268129</v>
      </c>
      <c r="W5" s="99">
        <v>512.81651812047505</v>
      </c>
      <c r="X5" s="99">
        <v>556.02397666666673</v>
      </c>
      <c r="Y5" s="99">
        <v>0.92234194485919441</v>
      </c>
      <c r="Z5" s="99">
        <v>43.207458546191617</v>
      </c>
      <c r="AA5" s="99">
        <v>4.3880559440715246</v>
      </c>
    </row>
    <row r="6" spans="1:27" x14ac:dyDescent="0.3">
      <c r="A6" s="100" t="s">
        <v>63</v>
      </c>
      <c r="B6" t="s">
        <v>79</v>
      </c>
      <c r="C6" s="99">
        <v>136.37333333333333</v>
      </c>
      <c r="D6" s="99">
        <v>176.66666666666666</v>
      </c>
      <c r="E6" s="99">
        <v>77.316704079475087</v>
      </c>
      <c r="F6" s="99">
        <v>2.58</v>
      </c>
      <c r="G6" s="99">
        <v>22.306666666666668</v>
      </c>
      <c r="H6" s="99">
        <v>455.23809523809524</v>
      </c>
      <c r="I6" s="99">
        <v>6</v>
      </c>
      <c r="J6" s="99">
        <v>44.623920400000003</v>
      </c>
      <c r="K6" s="99">
        <v>2.5499383085714284</v>
      </c>
      <c r="L6" s="99">
        <v>26.52416666666667</v>
      </c>
      <c r="M6" s="99">
        <v>386.68333333333334</v>
      </c>
      <c r="N6" s="99">
        <v>134.95110333333332</v>
      </c>
      <c r="O6" s="99">
        <v>17.915089514066494</v>
      </c>
      <c r="P6" s="99">
        <v>0.7004800000000001</v>
      </c>
      <c r="Q6" s="99">
        <v>109.35266666666666</v>
      </c>
      <c r="R6" s="99">
        <v>10</v>
      </c>
      <c r="S6" s="99">
        <v>25.066666666666666</v>
      </c>
      <c r="T6" s="99">
        <v>89.600000000000009</v>
      </c>
      <c r="U6" s="99">
        <v>2.0631001371742115</v>
      </c>
      <c r="V6" s="99">
        <v>4.4710578842315369</v>
      </c>
      <c r="W6" s="99">
        <v>479.68734277356748</v>
      </c>
      <c r="X6" s="99">
        <v>521.6344366666666</v>
      </c>
      <c r="Y6" s="99">
        <v>0.91962442788234977</v>
      </c>
      <c r="Z6" s="99">
        <v>41.947093893099144</v>
      </c>
      <c r="AA6" s="99">
        <v>3.7885902005493031</v>
      </c>
    </row>
    <row r="7" spans="1:27" x14ac:dyDescent="0.3">
      <c r="A7" s="100" t="s">
        <v>64</v>
      </c>
      <c r="B7" t="s">
        <v>79</v>
      </c>
      <c r="C7" s="99">
        <v>163.78333333333333</v>
      </c>
      <c r="D7" s="99">
        <v>180</v>
      </c>
      <c r="E7" s="99">
        <v>90.989008228126366</v>
      </c>
      <c r="F7" s="99">
        <v>2.7099999999999995</v>
      </c>
      <c r="G7" s="99">
        <v>17.523333333333337</v>
      </c>
      <c r="H7" s="99">
        <v>357.61904761904765</v>
      </c>
      <c r="I7" s="99">
        <v>8.7333333333333325</v>
      </c>
      <c r="J7" s="99">
        <v>72.341108633333349</v>
      </c>
      <c r="K7" s="99">
        <v>4.1337776361904766</v>
      </c>
      <c r="L7" s="99">
        <v>65.41243333333334</v>
      </c>
      <c r="M7" s="99">
        <v>294.33333333333331</v>
      </c>
      <c r="N7" s="99">
        <v>122.03313333333331</v>
      </c>
      <c r="O7" s="99">
        <v>21.036658141517474</v>
      </c>
      <c r="P7" s="99">
        <v>0.82253333333333334</v>
      </c>
      <c r="Q7" s="99">
        <v>102.54826666666668</v>
      </c>
      <c r="R7" s="99">
        <v>10</v>
      </c>
      <c r="S7" s="99">
        <v>24.933333333333337</v>
      </c>
      <c r="T7" s="99">
        <v>61.333333333333336</v>
      </c>
      <c r="U7" s="99">
        <v>2.0521262002743486</v>
      </c>
      <c r="V7" s="99">
        <v>3.0605455755156359</v>
      </c>
      <c r="W7" s="99">
        <v>383.76837753635505</v>
      </c>
      <c r="X7" s="99">
        <v>416.36646666666667</v>
      </c>
      <c r="Y7" s="99">
        <v>0.92195683356028313</v>
      </c>
      <c r="Z7" s="99">
        <v>32.598089130311585</v>
      </c>
      <c r="AA7" s="99">
        <v>2.9194502806437033</v>
      </c>
    </row>
    <row r="8" spans="1:27" x14ac:dyDescent="0.3">
      <c r="A8" s="100" t="s">
        <v>65</v>
      </c>
      <c r="B8" t="s">
        <v>79</v>
      </c>
      <c r="C8" s="99">
        <v>179.63</v>
      </c>
      <c r="D8" s="99">
        <v>178</v>
      </c>
      <c r="E8" s="99">
        <v>100.84937138568796</v>
      </c>
      <c r="F8" s="99">
        <v>2.8566666666666669</v>
      </c>
      <c r="G8" s="99">
        <v>13.433333333333332</v>
      </c>
      <c r="H8" s="99">
        <v>274.1496598639456</v>
      </c>
      <c r="I8" s="99">
        <v>12.700000000000001</v>
      </c>
      <c r="J8" s="99">
        <v>113.62117301666666</v>
      </c>
      <c r="K8" s="99">
        <v>6.4926384580952385</v>
      </c>
      <c r="L8" s="99">
        <v>113.89110000000001</v>
      </c>
      <c r="M8" s="99">
        <v>203.36666666666667</v>
      </c>
      <c r="N8" s="99">
        <v>112.01560666666667</v>
      </c>
      <c r="O8" s="99">
        <v>23.886786018755327</v>
      </c>
      <c r="P8" s="99">
        <v>0.93397333333333332</v>
      </c>
      <c r="Q8" s="99">
        <v>98.552733333333322</v>
      </c>
      <c r="R8" s="99">
        <v>10</v>
      </c>
      <c r="S8" s="99">
        <v>29.866666666666664</v>
      </c>
      <c r="T8" s="99">
        <v>58.266666666666673</v>
      </c>
      <c r="U8" s="99">
        <v>2.4581618655692732</v>
      </c>
      <c r="V8" s="99">
        <v>2.9075182967398536</v>
      </c>
      <c r="W8" s="99">
        <v>303.40212604500999</v>
      </c>
      <c r="X8" s="99">
        <v>315.38227333333333</v>
      </c>
      <c r="Y8" s="99">
        <v>0.96258167108624104</v>
      </c>
      <c r="Z8" s="99">
        <v>11.980147288323318</v>
      </c>
      <c r="AA8" s="99">
        <v>2.3701850346384692</v>
      </c>
    </row>
    <row r="9" spans="1:27" x14ac:dyDescent="0.3">
      <c r="A9" s="100" t="s">
        <v>66</v>
      </c>
      <c r="B9" t="s">
        <v>79</v>
      </c>
      <c r="C9" s="99">
        <v>202.91</v>
      </c>
      <c r="D9" s="99">
        <v>180.33333333333334</v>
      </c>
      <c r="E9" s="99">
        <v>112.5288952099008</v>
      </c>
      <c r="F9" s="99">
        <v>2.9033333333333338</v>
      </c>
      <c r="G9" s="99">
        <v>10.42</v>
      </c>
      <c r="H9" s="99">
        <v>212.65306122448979</v>
      </c>
      <c r="I9" s="99">
        <v>14.566666666666668</v>
      </c>
      <c r="J9" s="99">
        <v>133.47825658333332</v>
      </c>
      <c r="K9" s="99">
        <v>7.6273289476190476</v>
      </c>
      <c r="L9" s="99">
        <v>141.56780000000001</v>
      </c>
      <c r="M9" s="99">
        <v>140.29003333333333</v>
      </c>
      <c r="N9" s="99">
        <v>100.84536687333333</v>
      </c>
      <c r="O9" s="99">
        <v>23.343904518329069</v>
      </c>
      <c r="P9" s="99">
        <v>0.91274666666666671</v>
      </c>
      <c r="Q9" s="99">
        <v>91.558166666666651</v>
      </c>
      <c r="R9" s="99">
        <v>10</v>
      </c>
      <c r="S9" s="99">
        <v>32</v>
      </c>
      <c r="T9" s="99">
        <v>47.466666666666669</v>
      </c>
      <c r="U9" s="99">
        <v>2.6337448559670782</v>
      </c>
      <c r="V9" s="99">
        <v>2.3685961410512308</v>
      </c>
      <c r="W9" s="99">
        <v>240.99930673983718</v>
      </c>
      <c r="X9" s="99">
        <v>241.13540020666665</v>
      </c>
      <c r="Y9" s="99">
        <v>1.0002689212095996</v>
      </c>
      <c r="Z9" s="99">
        <v>0.13609346682947412</v>
      </c>
      <c r="AA9" s="99">
        <v>2.1809013266167958</v>
      </c>
    </row>
    <row r="10" spans="1:27" x14ac:dyDescent="0.3">
      <c r="A10" s="100" t="s">
        <v>67</v>
      </c>
      <c r="B10" t="s">
        <v>79</v>
      </c>
      <c r="C10" s="99">
        <v>236.36666666666667</v>
      </c>
      <c r="D10" s="99">
        <v>187.33333333333334</v>
      </c>
      <c r="E10" s="99">
        <v>126.17620510486593</v>
      </c>
      <c r="F10" s="99">
        <v>3.0266666666666668</v>
      </c>
      <c r="G10" s="99">
        <v>7.46</v>
      </c>
      <c r="H10" s="99">
        <v>152.24489795918365</v>
      </c>
      <c r="I10" s="99">
        <v>16.3</v>
      </c>
      <c r="J10" s="99">
        <v>152.17546824999997</v>
      </c>
      <c r="K10" s="99">
        <v>8.6957410428571418</v>
      </c>
      <c r="L10" s="99">
        <v>159.03293333333332</v>
      </c>
      <c r="M10" s="99">
        <v>92.360266666666675</v>
      </c>
      <c r="N10" s="99">
        <v>93.529882986666664</v>
      </c>
      <c r="O10" s="99">
        <v>24.97254901960784</v>
      </c>
      <c r="P10" s="99">
        <v>0.97642666666666666</v>
      </c>
      <c r="Q10" s="99">
        <v>87.415633333333332</v>
      </c>
      <c r="R10" s="99">
        <v>10</v>
      </c>
      <c r="S10" s="99">
        <v>34.666666666666664</v>
      </c>
      <c r="T10" s="99">
        <v>46.133333333333333</v>
      </c>
      <c r="U10" s="99">
        <v>2.8532235939643349</v>
      </c>
      <c r="V10" s="99">
        <v>2.3020625415834997</v>
      </c>
      <c r="W10" s="99">
        <v>182.37273311433935</v>
      </c>
      <c r="X10" s="99">
        <v>185.89014965333331</v>
      </c>
      <c r="Y10" s="99">
        <v>0.98168909131475868</v>
      </c>
      <c r="Z10" s="99">
        <v>3.5174165389939653</v>
      </c>
      <c r="AA10" s="99">
        <v>1.881296357396429</v>
      </c>
    </row>
    <row r="11" spans="1:27" x14ac:dyDescent="0.3">
      <c r="A11" s="100" t="s">
        <v>68</v>
      </c>
      <c r="B11" t="s">
        <v>79</v>
      </c>
      <c r="C11" s="99">
        <v>225.59</v>
      </c>
      <c r="D11" s="99">
        <v>177.33333333333334</v>
      </c>
      <c r="E11" s="99">
        <v>127.30667311411992</v>
      </c>
      <c r="F11" s="99">
        <v>3.1366666666666667</v>
      </c>
      <c r="G11" s="99">
        <v>6.580000000000001</v>
      </c>
      <c r="H11" s="99">
        <v>134.28571428571428</v>
      </c>
      <c r="I11" s="99">
        <v>17.400000000000002</v>
      </c>
      <c r="J11" s="99">
        <v>164.15383139999997</v>
      </c>
      <c r="K11" s="99">
        <v>9.3802189371428568</v>
      </c>
      <c r="L11" s="99">
        <v>167.53336666666667</v>
      </c>
      <c r="M11" s="99">
        <v>73.531666666666666</v>
      </c>
      <c r="N11" s="99">
        <v>90.305063000000004</v>
      </c>
      <c r="O11" s="99">
        <v>25.786871270247229</v>
      </c>
      <c r="P11" s="99">
        <v>1.0082666666666666</v>
      </c>
      <c r="Q11" s="99">
        <v>85.437266666666673</v>
      </c>
      <c r="R11" s="99">
        <v>10</v>
      </c>
      <c r="S11" s="99">
        <v>36.133333333333333</v>
      </c>
      <c r="T11" s="99">
        <v>43.733333333333327</v>
      </c>
      <c r="U11" s="99">
        <v>2.9739368998628257</v>
      </c>
      <c r="V11" s="99">
        <v>2.1823020625415834</v>
      </c>
      <c r="W11" s="99">
        <v>165.22882451836594</v>
      </c>
      <c r="X11" s="99">
        <v>163.83672966666666</v>
      </c>
      <c r="Y11" s="99">
        <v>1.0087277631159519</v>
      </c>
      <c r="Z11" s="99">
        <v>-1.3920948516992553</v>
      </c>
      <c r="AA11" s="99">
        <v>1.7606573399487309</v>
      </c>
    </row>
    <row r="12" spans="1:27" x14ac:dyDescent="0.3">
      <c r="A12" s="100" t="s">
        <v>69</v>
      </c>
      <c r="B12" t="s">
        <v>79</v>
      </c>
      <c r="C12" s="99">
        <v>251.26666666666665</v>
      </c>
      <c r="D12" s="99">
        <v>188.33333333333334</v>
      </c>
      <c r="E12" s="99">
        <v>133.45902076848805</v>
      </c>
      <c r="F12" s="99">
        <v>3.2233333333333332</v>
      </c>
      <c r="G12" s="99">
        <v>5.543333333333333</v>
      </c>
      <c r="H12" s="99">
        <v>113.12925170068029</v>
      </c>
      <c r="I12" s="99">
        <v>18.533333333333331</v>
      </c>
      <c r="J12" s="99">
        <v>176.60480599999997</v>
      </c>
      <c r="K12" s="99">
        <v>10.0917032</v>
      </c>
      <c r="L12" s="99">
        <v>178.28843333333336</v>
      </c>
      <c r="M12" s="99">
        <v>57.288766666666668</v>
      </c>
      <c r="N12" s="99">
        <v>83.808483019999997</v>
      </c>
      <c r="O12" s="99">
        <v>27.144075021312872</v>
      </c>
      <c r="P12" s="99">
        <v>1.0613333333333335</v>
      </c>
      <c r="Q12" s="99">
        <v>80.015966666666657</v>
      </c>
      <c r="R12" s="99">
        <v>10</v>
      </c>
      <c r="S12" s="99">
        <v>39.466666666666661</v>
      </c>
      <c r="T12" s="99">
        <v>38.800000000000004</v>
      </c>
      <c r="U12" s="99">
        <v>3.2482853223593957</v>
      </c>
      <c r="V12" s="99">
        <v>1.9361277445109781</v>
      </c>
      <c r="W12" s="99">
        <v>145.45773978886351</v>
      </c>
      <c r="X12" s="99">
        <v>141.09724968666669</v>
      </c>
      <c r="Y12" s="99">
        <v>1.0319590730296273</v>
      </c>
      <c r="Z12" s="99">
        <v>-4.3604901021968487</v>
      </c>
      <c r="AA12" s="99">
        <v>1.5501424350538919</v>
      </c>
    </row>
    <row r="13" spans="1:27" x14ac:dyDescent="0.3">
      <c r="A13" s="100" t="s">
        <v>70</v>
      </c>
      <c r="B13" t="s">
        <v>79</v>
      </c>
      <c r="C13" s="99">
        <v>255.6</v>
      </c>
      <c r="D13" s="99">
        <v>189</v>
      </c>
      <c r="E13" s="99">
        <v>135.37539768449599</v>
      </c>
      <c r="F13" s="99">
        <v>3.2133333333333334</v>
      </c>
      <c r="G13" s="99">
        <v>4.8899999999999997</v>
      </c>
      <c r="H13" s="99">
        <v>99.795918367346928</v>
      </c>
      <c r="I13" s="99">
        <v>19.633333333333329</v>
      </c>
      <c r="J13" s="99">
        <v>188.79057671666669</v>
      </c>
      <c r="K13" s="99">
        <v>10.788032955238096</v>
      </c>
      <c r="L13" s="99">
        <v>189.4742</v>
      </c>
      <c r="M13" s="99">
        <v>43.913100000000007</v>
      </c>
      <c r="N13" s="99">
        <v>84.116880553333331</v>
      </c>
      <c r="O13" s="99">
        <v>29.112020460358057</v>
      </c>
      <c r="P13" s="99">
        <v>1.1382800000000002</v>
      </c>
      <c r="Q13" s="99">
        <v>81.209833333333336</v>
      </c>
      <c r="R13" s="99">
        <v>10</v>
      </c>
      <c r="S13" s="99">
        <v>42.666666666666664</v>
      </c>
      <c r="T13" s="99">
        <v>37.199999999999996</v>
      </c>
      <c r="U13" s="99">
        <v>3.5116598079561037</v>
      </c>
      <c r="V13" s="99">
        <v>1.8562874251497006</v>
      </c>
      <c r="W13" s="99">
        <v>134.27588606081079</v>
      </c>
      <c r="X13" s="99">
        <v>128.02998055333333</v>
      </c>
      <c r="Y13" s="99">
        <v>1.049565648240252</v>
      </c>
      <c r="Z13" s="99">
        <v>-6.2459055074774694</v>
      </c>
      <c r="AA13" s="99">
        <v>1.4527809905282172</v>
      </c>
    </row>
    <row r="14" spans="1:27" x14ac:dyDescent="0.3">
      <c r="A14" s="100" t="s">
        <v>71</v>
      </c>
      <c r="B14" t="s">
        <v>79</v>
      </c>
      <c r="C14" s="99">
        <v>247.51999999999998</v>
      </c>
      <c r="D14" s="99">
        <v>178.66666666666666</v>
      </c>
      <c r="E14" s="99">
        <v>138.54861608596548</v>
      </c>
      <c r="F14" s="99">
        <v>3.3066666666666662</v>
      </c>
      <c r="G14" s="99">
        <v>4.1066666666666665</v>
      </c>
      <c r="H14" s="99">
        <v>83.80952380952381</v>
      </c>
      <c r="I14" s="99">
        <v>19.566666666666666</v>
      </c>
      <c r="J14" s="99">
        <v>188.05223024999998</v>
      </c>
      <c r="K14" s="99">
        <v>10.745841728571428</v>
      </c>
      <c r="L14" s="99">
        <v>186.09766666666667</v>
      </c>
      <c r="M14" s="99">
        <v>33.986333333333334</v>
      </c>
      <c r="N14" s="99">
        <v>76.187861933333338</v>
      </c>
      <c r="O14" s="99">
        <v>29.994202898550725</v>
      </c>
      <c r="P14" s="99">
        <v>1.1727733333333334</v>
      </c>
      <c r="Q14" s="99">
        <v>73.937966666666668</v>
      </c>
      <c r="R14" s="99">
        <v>10</v>
      </c>
      <c r="S14" s="99">
        <v>44</v>
      </c>
      <c r="T14" s="99">
        <v>40.266666666666673</v>
      </c>
      <c r="U14" s="99">
        <v>3.6213991769547325</v>
      </c>
      <c r="V14" s="99">
        <v>2.0093147039254826</v>
      </c>
      <c r="W14" s="99">
        <v>119.43444058895476</v>
      </c>
      <c r="X14" s="99">
        <v>110.17419526666667</v>
      </c>
      <c r="Y14" s="99">
        <v>1.0842561392102619</v>
      </c>
      <c r="Z14" s="99">
        <v>-9.2602453222880765</v>
      </c>
      <c r="AA14" s="99">
        <v>1.2795809486618417</v>
      </c>
    </row>
    <row r="15" spans="1:27" x14ac:dyDescent="0.3">
      <c r="A15" s="100" t="s">
        <v>72</v>
      </c>
      <c r="B15" t="s">
        <v>79</v>
      </c>
      <c r="C15" s="99">
        <v>281.78000000000003</v>
      </c>
      <c r="D15" s="99">
        <v>193.66666666666666</v>
      </c>
      <c r="E15" s="99">
        <v>145.6033262474117</v>
      </c>
      <c r="F15" s="99">
        <v>3.3466666666666662</v>
      </c>
      <c r="G15" s="99">
        <v>4.1966666666666663</v>
      </c>
      <c r="H15" s="99">
        <v>85.64625850340137</v>
      </c>
      <c r="I15" s="99">
        <v>19.933333333333334</v>
      </c>
      <c r="J15" s="99">
        <v>192.13955969999998</v>
      </c>
      <c r="K15" s="99">
        <v>10.979403411428571</v>
      </c>
      <c r="L15" s="99">
        <v>188.80963333333332</v>
      </c>
      <c r="M15" s="99">
        <v>33.221866666666664</v>
      </c>
      <c r="N15" s="99">
        <v>79.220587573333333</v>
      </c>
      <c r="O15" s="99">
        <v>30.740664961636828</v>
      </c>
      <c r="P15" s="99">
        <v>1.2019599999999999</v>
      </c>
      <c r="Q15" s="99">
        <v>77.021299999999997</v>
      </c>
      <c r="R15" s="99">
        <v>10</v>
      </c>
      <c r="S15" s="99">
        <v>46.266666666666673</v>
      </c>
      <c r="T15" s="99">
        <v>42.800000000000004</v>
      </c>
      <c r="U15" s="99">
        <v>3.8079561042523999</v>
      </c>
      <c r="V15" s="99">
        <v>2.1357285429141717</v>
      </c>
      <c r="W15" s="99">
        <v>122.33060811220476</v>
      </c>
      <c r="X15" s="99">
        <v>112.44245424</v>
      </c>
      <c r="Y15" s="99">
        <v>1.0879313053638717</v>
      </c>
      <c r="Z15" s="99">
        <v>-9.8881538722047626</v>
      </c>
      <c r="AA15" s="99">
        <v>1.2989096754762031</v>
      </c>
    </row>
    <row r="16" spans="1:27" x14ac:dyDescent="0.3">
      <c r="A16" s="100" t="s">
        <v>73</v>
      </c>
      <c r="B16" t="s">
        <v>79</v>
      </c>
      <c r="C16" s="99">
        <v>331.87666666666672</v>
      </c>
      <c r="D16" s="99">
        <v>226.33333333333334</v>
      </c>
      <c r="E16" s="99">
        <v>146.87629267892734</v>
      </c>
      <c r="F16" s="99">
        <v>3.3433333333333337</v>
      </c>
      <c r="G16" s="99">
        <v>3.6233333333333331</v>
      </c>
      <c r="H16" s="99">
        <v>73.945578231292515</v>
      </c>
      <c r="I16" s="99">
        <v>20.266666666666669</v>
      </c>
      <c r="J16" s="99">
        <v>195.85253736666667</v>
      </c>
      <c r="K16" s="99">
        <v>11.191573563809525</v>
      </c>
      <c r="L16" s="99">
        <v>200.73333333333335</v>
      </c>
      <c r="M16" s="99">
        <v>27.283333333333335</v>
      </c>
      <c r="N16" s="99">
        <v>78.012823333333344</v>
      </c>
      <c r="O16" s="99">
        <v>31.419266837169648</v>
      </c>
      <c r="P16" s="99">
        <v>1.2284933333333334</v>
      </c>
      <c r="Q16" s="99">
        <v>76.206666666666663</v>
      </c>
      <c r="R16" s="99">
        <v>10</v>
      </c>
      <c r="S16" s="99">
        <v>47.333333333333336</v>
      </c>
      <c r="T16" s="99">
        <v>41.733333333333334</v>
      </c>
      <c r="U16" s="99">
        <v>3.8957475994513029</v>
      </c>
      <c r="V16" s="99">
        <v>2.0825016633399867</v>
      </c>
      <c r="W16" s="99">
        <v>111.34309433125345</v>
      </c>
      <c r="X16" s="99">
        <v>105.29615666666666</v>
      </c>
      <c r="Y16" s="99">
        <v>1.0577506779950256</v>
      </c>
      <c r="Z16" s="99">
        <v>-6.0469376645867925</v>
      </c>
      <c r="AA16" s="99">
        <v>1.2497142566754693</v>
      </c>
    </row>
    <row r="17" spans="1:27" x14ac:dyDescent="0.3">
      <c r="A17" t="s">
        <v>61</v>
      </c>
      <c r="B17" t="s">
        <v>83</v>
      </c>
      <c r="C17" s="99">
        <v>121.27333333333333</v>
      </c>
      <c r="D17" s="99">
        <v>164.33333333333334</v>
      </c>
      <c r="E17" s="99">
        <v>73.894739027278135</v>
      </c>
      <c r="F17" s="99">
        <v>2.5466666666666664</v>
      </c>
      <c r="G17" s="99">
        <v>24.933333333333334</v>
      </c>
      <c r="H17" s="99">
        <v>508.84353741496602</v>
      </c>
      <c r="I17" s="99">
        <v>4.166666666666667</v>
      </c>
      <c r="J17" s="99">
        <v>26.357218383333322</v>
      </c>
      <c r="K17" s="99">
        <v>1.5061267647619043</v>
      </c>
      <c r="L17" s="99">
        <v>6.5491666666666672</v>
      </c>
      <c r="M17" s="99">
        <v>424.95</v>
      </c>
      <c r="N17" s="99">
        <v>166.23442333333332</v>
      </c>
      <c r="O17" s="99">
        <v>23.479624893435631</v>
      </c>
      <c r="P17" s="99">
        <v>0.91805333333333328</v>
      </c>
      <c r="Q17" s="99">
        <v>138.10273333333336</v>
      </c>
      <c r="R17" s="99">
        <v>13</v>
      </c>
      <c r="S17" s="99">
        <v>28.533333333333331</v>
      </c>
      <c r="T17" s="99">
        <v>72.13333333333334</v>
      </c>
      <c r="U17" s="99">
        <v>2.3484224965706448</v>
      </c>
      <c r="V17" s="99">
        <v>3.5994677312042582</v>
      </c>
      <c r="W17" s="99">
        <v>538.27105253617651</v>
      </c>
      <c r="X17" s="99">
        <v>591.18442333333326</v>
      </c>
      <c r="Y17" s="99">
        <v>0.91054090639372098</v>
      </c>
      <c r="Z17" s="99">
        <v>52.913370797156823</v>
      </c>
      <c r="AA17" s="99">
        <v>3.5436918672474587</v>
      </c>
    </row>
    <row r="18" spans="1:27" x14ac:dyDescent="0.3">
      <c r="A18" t="s">
        <v>62</v>
      </c>
      <c r="B18" t="s">
        <v>83</v>
      </c>
      <c r="C18" s="99">
        <v>138.51666666666665</v>
      </c>
      <c r="D18" s="99">
        <v>173.66666666666666</v>
      </c>
      <c r="E18" s="99">
        <v>79.759837161965677</v>
      </c>
      <c r="F18" s="99">
        <v>2.59</v>
      </c>
      <c r="G18" s="99">
        <v>23.820000000000004</v>
      </c>
      <c r="H18" s="99">
        <v>486.12244897959187</v>
      </c>
      <c r="I18" s="99">
        <v>4.6333333333333329</v>
      </c>
      <c r="J18" s="99">
        <v>30.979638583333326</v>
      </c>
      <c r="K18" s="99">
        <v>1.7702650619047615</v>
      </c>
      <c r="L18" s="99">
        <v>11.050833333333335</v>
      </c>
      <c r="M18" s="99">
        <v>399.36666666666662</v>
      </c>
      <c r="N18" s="99">
        <v>157.68074000000001</v>
      </c>
      <c r="O18" s="99">
        <v>25.108269394714409</v>
      </c>
      <c r="P18" s="99">
        <v>0.98173333333333324</v>
      </c>
      <c r="Q18" s="99">
        <v>131.24266666666668</v>
      </c>
      <c r="R18" s="99">
        <v>13</v>
      </c>
      <c r="S18" s="99">
        <v>26.400000000000002</v>
      </c>
      <c r="T18" s="99">
        <v>80.8</v>
      </c>
      <c r="U18" s="99">
        <v>2.1728395061728398</v>
      </c>
      <c r="V18" s="99">
        <v>4.0319361277445109</v>
      </c>
      <c r="W18" s="99">
        <v>517.4354940082236</v>
      </c>
      <c r="X18" s="99">
        <v>557.04740666666669</v>
      </c>
      <c r="Y18" s="99">
        <v>0.92889790602463407</v>
      </c>
      <c r="Z18" s="99">
        <v>39.611912658443067</v>
      </c>
      <c r="AA18" s="99">
        <v>3.1455453420720096</v>
      </c>
    </row>
    <row r="19" spans="1:27" x14ac:dyDescent="0.3">
      <c r="A19" t="s">
        <v>63</v>
      </c>
      <c r="B19" t="s">
        <v>83</v>
      </c>
      <c r="C19" s="99">
        <v>144.29</v>
      </c>
      <c r="D19" s="99">
        <v>175</v>
      </c>
      <c r="E19" s="99">
        <v>82.461444906681223</v>
      </c>
      <c r="F19" s="99">
        <v>2.6466666666666665</v>
      </c>
      <c r="G19" s="99">
        <v>21.146666666666668</v>
      </c>
      <c r="H19" s="99">
        <v>431.56462585034006</v>
      </c>
      <c r="I19" s="99">
        <v>6.2</v>
      </c>
      <c r="J19" s="99">
        <v>46.622257399999995</v>
      </c>
      <c r="K19" s="99">
        <v>2.664128994285714</v>
      </c>
      <c r="L19" s="99">
        <v>28.616666666666664</v>
      </c>
      <c r="M19" s="99">
        <v>353.38333333333338</v>
      </c>
      <c r="N19" s="99">
        <v>145.66201000000001</v>
      </c>
      <c r="O19" s="99">
        <v>28.161977834612106</v>
      </c>
      <c r="P19" s="99">
        <v>1.1011333333333335</v>
      </c>
      <c r="Q19" s="99">
        <v>122.26803333333334</v>
      </c>
      <c r="R19" s="99">
        <v>13</v>
      </c>
      <c r="S19" s="99">
        <v>26.666666666666668</v>
      </c>
      <c r="T19" s="99">
        <v>110.39999999999999</v>
      </c>
      <c r="U19" s="99">
        <v>2.1947873799725652</v>
      </c>
      <c r="V19" s="99">
        <v>5.5089820359281445</v>
      </c>
      <c r="W19" s="99">
        <v>467.43037310085293</v>
      </c>
      <c r="X19" s="99">
        <v>499.04534333333339</v>
      </c>
      <c r="Y19" s="99">
        <v>0.93673067784229191</v>
      </c>
      <c r="Z19" s="99">
        <v>31.614970232480385</v>
      </c>
      <c r="AA19" s="99">
        <v>2.5888741387260432</v>
      </c>
    </row>
    <row r="20" spans="1:27" x14ac:dyDescent="0.3">
      <c r="A20" t="s">
        <v>64</v>
      </c>
      <c r="B20" t="s">
        <v>83</v>
      </c>
      <c r="C20" s="99">
        <v>168.53</v>
      </c>
      <c r="D20" s="99">
        <v>177.33333333333334</v>
      </c>
      <c r="E20" s="99">
        <v>95.143919620958357</v>
      </c>
      <c r="F20" s="99">
        <v>2.8200000000000003</v>
      </c>
      <c r="G20" s="99">
        <v>15.43</v>
      </c>
      <c r="H20" s="99">
        <v>314.89795918367349</v>
      </c>
      <c r="I20" s="99">
        <v>9</v>
      </c>
      <c r="J20" s="99">
        <v>75.069293966666677</v>
      </c>
      <c r="K20" s="99">
        <v>4.2896739409523814</v>
      </c>
      <c r="L20" s="99">
        <v>69.954799999999992</v>
      </c>
      <c r="M20" s="99">
        <v>242.88333333333333</v>
      </c>
      <c r="N20" s="99">
        <v>132.61864333333332</v>
      </c>
      <c r="O20" s="99">
        <v>34.676555839727193</v>
      </c>
      <c r="P20" s="99">
        <v>1.3558533333333334</v>
      </c>
      <c r="Q20" s="99">
        <v>116.53976666666667</v>
      </c>
      <c r="R20" s="99">
        <v>13</v>
      </c>
      <c r="S20" s="99">
        <v>28.266666666666666</v>
      </c>
      <c r="T20" s="99">
        <v>70.666666666666671</v>
      </c>
      <c r="U20" s="99">
        <v>2.326474622770919</v>
      </c>
      <c r="V20" s="99">
        <v>3.5262807717897537</v>
      </c>
      <c r="W20" s="99">
        <v>355.42727041796132</v>
      </c>
      <c r="X20" s="99">
        <v>375.50197666666662</v>
      </c>
      <c r="Y20" s="99">
        <v>0.94737741401595388</v>
      </c>
      <c r="Z20" s="99">
        <v>20.074706248705354</v>
      </c>
      <c r="AA20" s="99">
        <v>1.9201044205190534</v>
      </c>
    </row>
    <row r="21" spans="1:27" x14ac:dyDescent="0.3">
      <c r="A21" t="s">
        <v>65</v>
      </c>
      <c r="B21" t="s">
        <v>83</v>
      </c>
      <c r="C21" s="99">
        <v>189.18333333333331</v>
      </c>
      <c r="D21" s="99">
        <v>185.66666666666666</v>
      </c>
      <c r="E21" s="99">
        <v>101.80558403657949</v>
      </c>
      <c r="F21" s="99">
        <v>2.9533333333333331</v>
      </c>
      <c r="G21" s="99">
        <v>12.193333333333333</v>
      </c>
      <c r="H21" s="99">
        <v>248.84353741496599</v>
      </c>
      <c r="I21" s="99">
        <v>12.433333333333332</v>
      </c>
      <c r="J21" s="99">
        <v>110.80083605</v>
      </c>
      <c r="K21" s="99">
        <v>6.331476345714286</v>
      </c>
      <c r="L21" s="99">
        <v>111.25986666666665</v>
      </c>
      <c r="M21" s="99">
        <v>167.81666666666666</v>
      </c>
      <c r="N21" s="99">
        <v>128.93496333333334</v>
      </c>
      <c r="O21" s="99">
        <v>38.341005967604438</v>
      </c>
      <c r="P21" s="99">
        <v>1.4991333333333332</v>
      </c>
      <c r="Q21" s="99">
        <v>117.82549999999999</v>
      </c>
      <c r="R21" s="99">
        <v>13</v>
      </c>
      <c r="S21" s="99">
        <v>33.733333333333334</v>
      </c>
      <c r="T21" s="99">
        <v>68.266666666666666</v>
      </c>
      <c r="U21" s="99">
        <v>2.7764060356652949</v>
      </c>
      <c r="V21" s="99">
        <v>3.4065202927478375</v>
      </c>
      <c r="W21" s="99">
        <v>293.36746971098358</v>
      </c>
      <c r="X21" s="99">
        <v>296.75163000000003</v>
      </c>
      <c r="Y21" s="99">
        <v>0.98892547976724199</v>
      </c>
      <c r="Z21" s="99">
        <v>3.3841602890164872</v>
      </c>
      <c r="AA21" s="99">
        <v>1.6848280892622947</v>
      </c>
    </row>
    <row r="22" spans="1:27" x14ac:dyDescent="0.3">
      <c r="A22" t="s">
        <v>66</v>
      </c>
      <c r="B22" t="s">
        <v>83</v>
      </c>
      <c r="C22" s="99">
        <v>215.33666666666667</v>
      </c>
      <c r="D22" s="99">
        <v>185</v>
      </c>
      <c r="E22" s="99">
        <v>116.46813313394016</v>
      </c>
      <c r="F22" s="99">
        <v>3.0166666666666671</v>
      </c>
      <c r="G22" s="99">
        <v>9.1533333333333342</v>
      </c>
      <c r="H22" s="99">
        <v>186.80272108843533</v>
      </c>
      <c r="I22" s="99">
        <v>14</v>
      </c>
      <c r="J22" s="99">
        <v>127.41781896666667</v>
      </c>
      <c r="K22" s="99">
        <v>7.2810182266666672</v>
      </c>
      <c r="L22" s="99">
        <v>134.58529999999999</v>
      </c>
      <c r="M22" s="99">
        <v>110.0638</v>
      </c>
      <c r="N22" s="99">
        <v>112.92425689333334</v>
      </c>
      <c r="O22" s="99">
        <v>37.39096334185848</v>
      </c>
      <c r="P22" s="99">
        <v>1.4619866666666665</v>
      </c>
      <c r="Q22" s="99">
        <v>105.63803333333333</v>
      </c>
      <c r="R22" s="99">
        <v>13</v>
      </c>
      <c r="S22" s="99">
        <v>36</v>
      </c>
      <c r="T22" s="99">
        <v>57.333333333333336</v>
      </c>
      <c r="U22" s="99">
        <v>2.9629629629629624</v>
      </c>
      <c r="V22" s="99">
        <v>2.8609447771124419</v>
      </c>
      <c r="W22" s="99">
        <v>230.01759217036928</v>
      </c>
      <c r="X22" s="99">
        <v>222.98805689333335</v>
      </c>
      <c r="Y22" s="99">
        <v>1.0316104396430081</v>
      </c>
      <c r="Z22" s="99">
        <v>-7.0295352770359232</v>
      </c>
      <c r="AA22" s="99">
        <v>1.513830170481512</v>
      </c>
    </row>
    <row r="23" spans="1:27" x14ac:dyDescent="0.3">
      <c r="A23" t="s">
        <v>67</v>
      </c>
      <c r="B23" t="s">
        <v>83</v>
      </c>
      <c r="C23" s="99">
        <v>234.87666666666667</v>
      </c>
      <c r="D23" s="99">
        <v>183.33333333333334</v>
      </c>
      <c r="E23" s="99">
        <v>128.22880283817895</v>
      </c>
      <c r="F23" s="99">
        <v>3.16</v>
      </c>
      <c r="G23" s="99">
        <v>6.7766666666666664</v>
      </c>
      <c r="H23" s="99">
        <v>138.29931972789117</v>
      </c>
      <c r="I23" s="99">
        <v>15.700000000000001</v>
      </c>
      <c r="J23" s="99">
        <v>145.67163151666665</v>
      </c>
      <c r="K23" s="99">
        <v>8.3240932295238093</v>
      </c>
      <c r="L23" s="99">
        <v>150.28683333333333</v>
      </c>
      <c r="M23" s="99">
        <v>77.207499999999996</v>
      </c>
      <c r="N23" s="99">
        <v>106.81486983333333</v>
      </c>
      <c r="O23" s="99">
        <v>40.308951406649612</v>
      </c>
      <c r="P23" s="99">
        <v>1.5760799999999999</v>
      </c>
      <c r="Q23" s="99">
        <v>101.70373333333333</v>
      </c>
      <c r="R23" s="99">
        <v>13</v>
      </c>
      <c r="S23" s="99">
        <v>39.06666666666667</v>
      </c>
      <c r="T23" s="99">
        <v>53.466666666666669</v>
      </c>
      <c r="U23" s="99">
        <v>3.2153635116598083</v>
      </c>
      <c r="V23" s="99">
        <v>2.6679973386560216</v>
      </c>
      <c r="W23" s="99">
        <v>184.49163198485658</v>
      </c>
      <c r="X23" s="99">
        <v>184.02236983333333</v>
      </c>
      <c r="Y23" s="99">
        <v>1.0025410325877504</v>
      </c>
      <c r="Z23" s="99">
        <v>-0.46926215152327205</v>
      </c>
      <c r="AA23" s="99">
        <v>1.3263721801343584</v>
      </c>
    </row>
    <row r="24" spans="1:27" x14ac:dyDescent="0.3">
      <c r="A24" t="s">
        <v>68</v>
      </c>
      <c r="B24" t="s">
        <v>83</v>
      </c>
      <c r="C24" s="99">
        <v>235.57333333333335</v>
      </c>
      <c r="D24" s="99">
        <v>178.66666666666666</v>
      </c>
      <c r="E24" s="99">
        <v>132.05079052027739</v>
      </c>
      <c r="F24" s="99">
        <v>3.2699999999999996</v>
      </c>
      <c r="G24" s="99">
        <v>6.0533333333333337</v>
      </c>
      <c r="H24" s="99">
        <v>123.53741496598639</v>
      </c>
      <c r="I24" s="99">
        <v>16.7</v>
      </c>
      <c r="J24" s="99">
        <v>156.51419211666664</v>
      </c>
      <c r="K24" s="99">
        <v>8.9436681209523794</v>
      </c>
      <c r="L24" s="99">
        <v>159.00070000000002</v>
      </c>
      <c r="M24" s="99">
        <v>61.064300000000003</v>
      </c>
      <c r="N24" s="99">
        <v>103.40088999333334</v>
      </c>
      <c r="O24" s="99">
        <v>40.444671781756178</v>
      </c>
      <c r="P24" s="99">
        <v>1.5813866666666667</v>
      </c>
      <c r="Q24" s="99">
        <v>99.358433333333338</v>
      </c>
      <c r="R24" s="99">
        <v>13</v>
      </c>
      <c r="S24" s="99">
        <v>40.4</v>
      </c>
      <c r="T24" s="99">
        <v>48.266666666666673</v>
      </c>
      <c r="U24" s="99">
        <v>3.3251028806584362</v>
      </c>
      <c r="V24" s="99">
        <v>2.4085163007318697</v>
      </c>
      <c r="W24" s="99">
        <v>169.71570592913289</v>
      </c>
      <c r="X24" s="99">
        <v>164.46518999333333</v>
      </c>
      <c r="Y24" s="99">
        <v>1.0324216052680206</v>
      </c>
      <c r="Z24" s="99">
        <v>-5.2505159357995508</v>
      </c>
      <c r="AA24" s="99">
        <v>1.2829177345815443</v>
      </c>
    </row>
    <row r="25" spans="1:27" x14ac:dyDescent="0.3">
      <c r="A25" t="s">
        <v>69</v>
      </c>
      <c r="B25" t="s">
        <v>83</v>
      </c>
      <c r="C25" s="99">
        <v>246.73333333333335</v>
      </c>
      <c r="D25" s="99">
        <v>176.66666666666666</v>
      </c>
      <c r="E25" s="99">
        <v>140.10929311664606</v>
      </c>
      <c r="F25" s="99">
        <v>3.35</v>
      </c>
      <c r="G25" s="99">
        <v>5.419999999999999</v>
      </c>
      <c r="H25" s="99">
        <v>110.61224489795917</v>
      </c>
      <c r="I25" s="99">
        <v>18</v>
      </c>
      <c r="J25" s="99">
        <v>170.73308906666668</v>
      </c>
      <c r="K25" s="99">
        <v>9.756176518095236</v>
      </c>
      <c r="L25" s="99">
        <v>169.0977</v>
      </c>
      <c r="M25" s="99">
        <v>53.484499999999997</v>
      </c>
      <c r="N25" s="99">
        <v>97.681940566666682</v>
      </c>
      <c r="O25" s="99">
        <v>42.548337595907924</v>
      </c>
      <c r="P25" s="99">
        <v>1.66364</v>
      </c>
      <c r="Q25" s="99">
        <v>94.141266666666681</v>
      </c>
      <c r="R25" s="99">
        <v>13</v>
      </c>
      <c r="S25" s="99">
        <v>43.066666666666663</v>
      </c>
      <c r="T25" s="99">
        <v>43.066666666666663</v>
      </c>
      <c r="U25" s="99">
        <v>3.5445816186556929</v>
      </c>
      <c r="V25" s="99">
        <v>2.1490352628077178</v>
      </c>
      <c r="W25" s="99">
        <v>158.85419937533052</v>
      </c>
      <c r="X25" s="99">
        <v>151.16644056666667</v>
      </c>
      <c r="Y25" s="99">
        <v>1.0513259749962682</v>
      </c>
      <c r="Z25" s="99">
        <v>-7.6877588086638484</v>
      </c>
      <c r="AA25" s="99">
        <v>1.1519161910952436</v>
      </c>
    </row>
    <row r="26" spans="1:27" x14ac:dyDescent="0.3">
      <c r="A26" t="s">
        <v>70</v>
      </c>
      <c r="B26" t="s">
        <v>83</v>
      </c>
      <c r="C26" s="99">
        <v>252.26333333333332</v>
      </c>
      <c r="D26" s="99">
        <v>176.33333333333334</v>
      </c>
      <c r="E26" s="99">
        <v>143.43748445187043</v>
      </c>
      <c r="F26" s="99">
        <v>3.3699999999999997</v>
      </c>
      <c r="G26" s="99">
        <v>4.7299999999999995</v>
      </c>
      <c r="H26" s="99">
        <v>96.530612244897952</v>
      </c>
      <c r="I26" s="99">
        <v>19.066666666666666</v>
      </c>
      <c r="J26" s="99">
        <v>182.49670600000002</v>
      </c>
      <c r="K26" s="99">
        <v>10.428383200000001</v>
      </c>
      <c r="L26" s="99">
        <v>180.94579999999999</v>
      </c>
      <c r="M26" s="99">
        <v>42.078166666666668</v>
      </c>
      <c r="N26" s="99">
        <v>93.255074633333336</v>
      </c>
      <c r="O26" s="99">
        <v>44.855583972719522</v>
      </c>
      <c r="P26" s="99">
        <v>1.753853333333333</v>
      </c>
      <c r="Q26" s="99">
        <v>90.469499999999996</v>
      </c>
      <c r="R26" s="99">
        <v>13</v>
      </c>
      <c r="S26" s="99">
        <v>46.666666666666664</v>
      </c>
      <c r="T26" s="99">
        <v>42</v>
      </c>
      <c r="U26" s="99">
        <v>3.8408779149519887</v>
      </c>
      <c r="V26" s="99">
        <v>2.0958083832335332</v>
      </c>
      <c r="W26" s="99">
        <v>147.322882515803</v>
      </c>
      <c r="X26" s="99">
        <v>135.33324130000003</v>
      </c>
      <c r="Y26" s="99">
        <v>1.0885490963620725</v>
      </c>
      <c r="Z26" s="99">
        <v>-11.989641215803005</v>
      </c>
      <c r="AA26" s="99">
        <v>1.0412551754883175</v>
      </c>
    </row>
    <row r="27" spans="1:27" x14ac:dyDescent="0.3">
      <c r="A27" t="s">
        <v>71</v>
      </c>
      <c r="B27" t="s">
        <v>83</v>
      </c>
      <c r="C27" s="99">
        <v>267.21666666666664</v>
      </c>
      <c r="D27" s="99">
        <v>182.66666666666666</v>
      </c>
      <c r="E27" s="99">
        <v>146.36070537599036</v>
      </c>
      <c r="F27" s="99">
        <v>3.4599999999999995</v>
      </c>
      <c r="G27" s="99">
        <v>4.1766666666666667</v>
      </c>
      <c r="H27" s="99">
        <v>85.238095238095227</v>
      </c>
      <c r="I27" s="99">
        <v>19.233333333333334</v>
      </c>
      <c r="J27" s="99">
        <v>184.34987525</v>
      </c>
      <c r="K27" s="99">
        <v>10.534278585714285</v>
      </c>
      <c r="L27" s="99">
        <v>181.12863333333334</v>
      </c>
      <c r="M27" s="99">
        <v>36.383100000000006</v>
      </c>
      <c r="N27" s="99">
        <v>89.379861220000009</v>
      </c>
      <c r="O27" s="99">
        <v>47.162830349531113</v>
      </c>
      <c r="P27" s="99">
        <v>1.8440666666666665</v>
      </c>
      <c r="Q27" s="99">
        <v>86.971299999999999</v>
      </c>
      <c r="R27" s="99">
        <v>13</v>
      </c>
      <c r="S27" s="99">
        <v>47.733333333333327</v>
      </c>
      <c r="T27" s="99">
        <v>46.800000000000004</v>
      </c>
      <c r="U27" s="99">
        <v>3.9286694101508908</v>
      </c>
      <c r="V27" s="99">
        <v>2.3353293413173657</v>
      </c>
      <c r="W27" s="99">
        <v>138.6649243390946</v>
      </c>
      <c r="X27" s="99">
        <v>125.76296122000001</v>
      </c>
      <c r="Y27" s="99">
        <v>1.1026650714305317</v>
      </c>
      <c r="Z27" s="99">
        <v>-12.901963119094603</v>
      </c>
      <c r="AA27" s="99">
        <v>0.95086087672960373</v>
      </c>
    </row>
    <row r="28" spans="1:27" x14ac:dyDescent="0.3">
      <c r="A28" t="s">
        <v>72</v>
      </c>
      <c r="B28" t="s">
        <v>83</v>
      </c>
      <c r="C28" s="99">
        <v>291.85666666666663</v>
      </c>
      <c r="D28" s="99">
        <v>190.33333333333334</v>
      </c>
      <c r="E28" s="99">
        <v>153.23102471312507</v>
      </c>
      <c r="F28" s="99">
        <v>3.4633333333333334</v>
      </c>
      <c r="G28" s="99">
        <v>4.51</v>
      </c>
      <c r="H28" s="99">
        <v>92.040816326530603</v>
      </c>
      <c r="I28" s="99">
        <v>19.933333333333334</v>
      </c>
      <c r="J28" s="99">
        <v>192.12840589999999</v>
      </c>
      <c r="K28" s="99">
        <v>10.97876605142857</v>
      </c>
      <c r="L28" s="99">
        <v>186.97080000000003</v>
      </c>
      <c r="M28" s="99">
        <v>36.776266666666665</v>
      </c>
      <c r="N28" s="99">
        <v>95.545855519999989</v>
      </c>
      <c r="O28" s="99">
        <v>47.027109974424548</v>
      </c>
      <c r="P28" s="99">
        <v>1.83876</v>
      </c>
      <c r="Q28" s="99">
        <v>93.111266666666666</v>
      </c>
      <c r="R28" s="99">
        <v>13</v>
      </c>
      <c r="S28" s="99">
        <v>52.266666666666673</v>
      </c>
      <c r="T28" s="99">
        <v>50.79999999999999</v>
      </c>
      <c r="U28" s="99">
        <v>4.301783264746228</v>
      </c>
      <c r="V28" s="99">
        <v>2.5349301397205593</v>
      </c>
      <c r="W28" s="99">
        <v>145.90463970542194</v>
      </c>
      <c r="X28" s="99">
        <v>132.32212218666666</v>
      </c>
      <c r="Y28" s="99">
        <v>1.102568698013167</v>
      </c>
      <c r="Z28" s="99">
        <v>-13.58251751875529</v>
      </c>
      <c r="AA28" s="99">
        <v>1.0182881446301772</v>
      </c>
    </row>
    <row r="29" spans="1:27" x14ac:dyDescent="0.3">
      <c r="A29" t="s">
        <v>73</v>
      </c>
      <c r="B29" t="s">
        <v>83</v>
      </c>
      <c r="C29" s="99">
        <v>326.96999999999997</v>
      </c>
      <c r="D29" s="99">
        <v>213</v>
      </c>
      <c r="E29" s="99">
        <v>153.22204431344142</v>
      </c>
      <c r="F29" s="99">
        <v>3.3733333333333331</v>
      </c>
      <c r="G29" s="99">
        <v>3.4133333333333336</v>
      </c>
      <c r="H29" s="99">
        <v>69.659863945578238</v>
      </c>
      <c r="I29" s="99">
        <v>20.533333333333335</v>
      </c>
      <c r="J29" s="99">
        <v>198.82504403333328</v>
      </c>
      <c r="K29" s="99">
        <v>11.361431087619048</v>
      </c>
      <c r="L29" s="99">
        <v>200.86666666666667</v>
      </c>
      <c r="M29" s="99">
        <v>31.233333333333334</v>
      </c>
      <c r="N29" s="99">
        <v>87.404313333333334</v>
      </c>
      <c r="O29" s="99">
        <v>47.705711849957368</v>
      </c>
      <c r="P29" s="99">
        <v>1.8652933333333335</v>
      </c>
      <c r="Q29" s="99">
        <v>85.336666666666659</v>
      </c>
      <c r="R29" s="99">
        <v>13</v>
      </c>
      <c r="S29" s="99">
        <v>51.199999999999996</v>
      </c>
      <c r="T29" s="99">
        <v>49.20000000000001</v>
      </c>
      <c r="U29" s="99">
        <v>4.2139917695473246</v>
      </c>
      <c r="V29" s="99">
        <v>2.4550898203592815</v>
      </c>
      <c r="W29" s="99">
        <v>124.03465738544223</v>
      </c>
      <c r="X29" s="99">
        <v>118.63764666666668</v>
      </c>
      <c r="Y29" s="99">
        <v>1.0455997844456084</v>
      </c>
      <c r="Z29" s="99">
        <v>-5.3970107187755376</v>
      </c>
      <c r="AA29" s="99">
        <v>0.92061647369345778</v>
      </c>
    </row>
    <row r="30" spans="1:27" x14ac:dyDescent="0.3">
      <c r="A30" t="s">
        <v>61</v>
      </c>
      <c r="B30" t="s">
        <v>81</v>
      </c>
      <c r="C30" s="99">
        <v>133.16999999999999</v>
      </c>
      <c r="D30" s="99">
        <v>177</v>
      </c>
      <c r="E30" s="99">
        <v>75.31809075965478</v>
      </c>
      <c r="F30" s="99">
        <v>2.56</v>
      </c>
      <c r="G30" s="99">
        <v>25.223333333333333</v>
      </c>
      <c r="H30" s="99">
        <v>514.7619047619047</v>
      </c>
      <c r="I30" s="99">
        <v>4.1333333333333337</v>
      </c>
      <c r="J30" s="99">
        <v>26.028278499999999</v>
      </c>
      <c r="K30" s="99">
        <v>1.4873301999999997</v>
      </c>
      <c r="L30" s="99">
        <v>6.2233333333333336</v>
      </c>
      <c r="M30" s="99">
        <v>427.11666666666662</v>
      </c>
      <c r="N30" s="99">
        <v>166.88688999999999</v>
      </c>
      <c r="O30" s="99">
        <v>25.786871270247229</v>
      </c>
      <c r="P30" s="99">
        <v>1.0082666666666666</v>
      </c>
      <c r="Q30" s="99">
        <v>138.61176666666665</v>
      </c>
      <c r="R30" s="99">
        <v>16</v>
      </c>
      <c r="S30" s="99">
        <v>28</v>
      </c>
      <c r="T30" s="99">
        <v>68.933333333333337</v>
      </c>
      <c r="U30" s="99">
        <v>2.3045267489711931</v>
      </c>
      <c r="V30" s="99">
        <v>3.4397870924817036</v>
      </c>
      <c r="W30" s="99">
        <v>546.29308987360491</v>
      </c>
      <c r="X30" s="99">
        <v>594.00355666666667</v>
      </c>
      <c r="Y30" s="99">
        <v>0.91974171287273021</v>
      </c>
      <c r="Z30" s="99">
        <v>47.71046679306172</v>
      </c>
      <c r="AA30" s="99">
        <v>3.2394579944654125</v>
      </c>
    </row>
    <row r="31" spans="1:27" x14ac:dyDescent="0.3">
      <c r="A31" t="s">
        <v>62</v>
      </c>
      <c r="B31" t="s">
        <v>81</v>
      </c>
      <c r="C31" s="99">
        <v>137.44333333333333</v>
      </c>
      <c r="D31" s="99">
        <v>170.33333333333334</v>
      </c>
      <c r="E31" s="99">
        <v>80.632446376929366</v>
      </c>
      <c r="F31" s="99">
        <v>2.6133333333333337</v>
      </c>
      <c r="G31" s="99">
        <v>23.75333333333333</v>
      </c>
      <c r="H31" s="99">
        <v>484.76190476190476</v>
      </c>
      <c r="I31" s="99">
        <v>4.5666666666666673</v>
      </c>
      <c r="J31" s="99">
        <v>30.319899850000002</v>
      </c>
      <c r="K31" s="99">
        <v>1.7325657057142856</v>
      </c>
      <c r="L31" s="99">
        <v>10.378333333333332</v>
      </c>
      <c r="M31" s="99">
        <v>400.45</v>
      </c>
      <c r="N31" s="99">
        <v>157.84772333333333</v>
      </c>
      <c r="O31" s="99">
        <v>28.704859335038364</v>
      </c>
      <c r="P31" s="99">
        <v>1.1223599999999998</v>
      </c>
      <c r="Q31" s="99">
        <v>131.33793333333335</v>
      </c>
      <c r="R31" s="99">
        <v>16</v>
      </c>
      <c r="S31" s="99">
        <v>26.666666666666668</v>
      </c>
      <c r="T31" s="99">
        <v>78.933333333333323</v>
      </c>
      <c r="U31" s="99">
        <v>2.1947873799725652</v>
      </c>
      <c r="V31" s="99">
        <v>3.938789088489687</v>
      </c>
      <c r="W31" s="99">
        <v>519.6003405654053</v>
      </c>
      <c r="X31" s="99">
        <v>558.29772333333324</v>
      </c>
      <c r="Y31" s="99">
        <v>0.93070709297934384</v>
      </c>
      <c r="Z31" s="99">
        <v>38.697382767927969</v>
      </c>
      <c r="AA31" s="99">
        <v>2.7526411795163699</v>
      </c>
    </row>
    <row r="32" spans="1:27" x14ac:dyDescent="0.3">
      <c r="A32" t="s">
        <v>63</v>
      </c>
      <c r="B32" t="s">
        <v>81</v>
      </c>
      <c r="C32" s="99">
        <v>145.84333333333333</v>
      </c>
      <c r="D32" s="99">
        <v>168.33333333333334</v>
      </c>
      <c r="E32" s="99">
        <v>86.676017971858684</v>
      </c>
      <c r="F32" s="99">
        <v>2.6833333333333331</v>
      </c>
      <c r="G32" s="99">
        <v>20.883333333333329</v>
      </c>
      <c r="H32" s="99">
        <v>426.19047619047615</v>
      </c>
      <c r="I32" s="99">
        <v>6.2</v>
      </c>
      <c r="J32" s="99">
        <v>46.637394699999994</v>
      </c>
      <c r="K32" s="99">
        <v>2.6649939828571427</v>
      </c>
      <c r="L32" s="99">
        <v>28.822500000000002</v>
      </c>
      <c r="M32" s="99">
        <v>350.4666666666667</v>
      </c>
      <c r="N32" s="99">
        <v>145.29402666666667</v>
      </c>
      <c r="O32" s="99">
        <v>32.912190963341857</v>
      </c>
      <c r="P32" s="99">
        <v>1.2868666666666666</v>
      </c>
      <c r="Q32" s="99">
        <v>122.09313333333334</v>
      </c>
      <c r="R32" s="99">
        <v>16</v>
      </c>
      <c r="S32" s="99">
        <v>26.933333333333337</v>
      </c>
      <c r="T32" s="99">
        <v>90.399999999999991</v>
      </c>
      <c r="U32" s="99">
        <v>2.2167352537722906</v>
      </c>
      <c r="V32" s="99">
        <v>4.5109780439121758</v>
      </c>
      <c r="W32" s="99">
        <v>465.83038045150244</v>
      </c>
      <c r="X32" s="99">
        <v>495.76069333333334</v>
      </c>
      <c r="Y32" s="99">
        <v>0.93992925938850058</v>
      </c>
      <c r="Z32" s="99">
        <v>29.930312881830844</v>
      </c>
      <c r="AA32" s="99">
        <v>2.2230285220742823</v>
      </c>
    </row>
    <row r="33" spans="1:27" x14ac:dyDescent="0.3">
      <c r="A33" t="s">
        <v>64</v>
      </c>
      <c r="B33" t="s">
        <v>81</v>
      </c>
      <c r="C33" s="99">
        <v>165.92333333333332</v>
      </c>
      <c r="D33" s="99">
        <v>172</v>
      </c>
      <c r="E33" s="99">
        <v>96.544624001354762</v>
      </c>
      <c r="F33" s="99">
        <v>2.8433333333333337</v>
      </c>
      <c r="G33" s="99">
        <v>15.480000000000002</v>
      </c>
      <c r="H33" s="99">
        <v>315.91836734693879</v>
      </c>
      <c r="I33" s="99">
        <v>8.7666666666666675</v>
      </c>
      <c r="J33" s="99">
        <v>72.688107050000013</v>
      </c>
      <c r="K33" s="99">
        <v>4.1536061171428571</v>
      </c>
      <c r="L33" s="99">
        <v>66.49669999999999</v>
      </c>
      <c r="M33" s="99">
        <v>246.06666666666663</v>
      </c>
      <c r="N33" s="99">
        <v>133.38181333333333</v>
      </c>
      <c r="O33" s="99">
        <v>39.494629156010227</v>
      </c>
      <c r="P33" s="99">
        <v>1.5442400000000001</v>
      </c>
      <c r="Q33" s="99">
        <v>117.09220000000001</v>
      </c>
      <c r="R33" s="99">
        <v>16</v>
      </c>
      <c r="S33" s="99">
        <v>28.933333333333334</v>
      </c>
      <c r="T33" s="99">
        <v>73.600000000000009</v>
      </c>
      <c r="U33" s="99">
        <v>2.3813443072702332</v>
      </c>
      <c r="V33" s="99">
        <v>3.6726546906187632</v>
      </c>
      <c r="W33" s="99">
        <v>361.46699550083804</v>
      </c>
      <c r="X33" s="99">
        <v>379.44848000000002</v>
      </c>
      <c r="Y33" s="99">
        <v>0.95342752771971828</v>
      </c>
      <c r="Z33" s="99">
        <v>17.98148449916194</v>
      </c>
      <c r="AA33" s="99">
        <v>1.6915075266711603</v>
      </c>
    </row>
    <row r="34" spans="1:27" x14ac:dyDescent="0.3">
      <c r="A34" t="s">
        <v>65</v>
      </c>
      <c r="B34" t="s">
        <v>81</v>
      </c>
      <c r="C34" s="99">
        <v>173.05999999999997</v>
      </c>
      <c r="D34" s="99">
        <v>172.66666666666666</v>
      </c>
      <c r="E34" s="99">
        <v>100.00232725501269</v>
      </c>
      <c r="F34" s="99">
        <v>2.9466666666666668</v>
      </c>
      <c r="G34" s="99">
        <v>12.396666666666667</v>
      </c>
      <c r="H34" s="99">
        <v>252.99319727891157</v>
      </c>
      <c r="I34" s="99">
        <v>12.200000000000001</v>
      </c>
      <c r="J34" s="99">
        <v>108.36520796666667</v>
      </c>
      <c r="K34" s="99">
        <v>6.1922975980952382</v>
      </c>
      <c r="L34" s="99">
        <v>109.1431</v>
      </c>
      <c r="M34" s="99">
        <v>173.04999999999998</v>
      </c>
      <c r="N34" s="99">
        <v>131.29601</v>
      </c>
      <c r="O34" s="99">
        <v>43.091219096334186</v>
      </c>
      <c r="P34" s="99">
        <v>1.6848666666666665</v>
      </c>
      <c r="Q34" s="99">
        <v>119.84010000000001</v>
      </c>
      <c r="R34" s="99">
        <v>16</v>
      </c>
      <c r="S34" s="99">
        <v>33.733333333333327</v>
      </c>
      <c r="T34" s="99">
        <v>67.466666666666669</v>
      </c>
      <c r="U34" s="99">
        <v>2.7764060356652949</v>
      </c>
      <c r="V34" s="99">
        <v>3.3666001330671995</v>
      </c>
      <c r="W34" s="99">
        <v>302.22742254397821</v>
      </c>
      <c r="X34" s="99">
        <v>304.34601000000004</v>
      </c>
      <c r="Y34" s="99">
        <v>0.99484000681402962</v>
      </c>
      <c r="Z34" s="99">
        <v>2.1185874560217712</v>
      </c>
      <c r="AA34" s="99">
        <v>1.5296132013471715</v>
      </c>
    </row>
    <row r="35" spans="1:27" x14ac:dyDescent="0.3">
      <c r="A35" t="s">
        <v>66</v>
      </c>
      <c r="B35" t="s">
        <v>81</v>
      </c>
      <c r="C35" s="99">
        <v>196.25333333333333</v>
      </c>
      <c r="D35" s="99">
        <v>167.33333333333334</v>
      </c>
      <c r="E35" s="99">
        <v>116.92150759103636</v>
      </c>
      <c r="F35" s="99">
        <v>3.0400000000000005</v>
      </c>
      <c r="G35" s="99">
        <v>9.06</v>
      </c>
      <c r="H35" s="99">
        <v>184.89795918367346</v>
      </c>
      <c r="I35" s="99">
        <v>13.666666666666666</v>
      </c>
      <c r="J35" s="99">
        <v>123.87506953333333</v>
      </c>
      <c r="K35" s="99">
        <v>7.0785754019047618</v>
      </c>
      <c r="L35" s="99">
        <v>129.47286666666668</v>
      </c>
      <c r="M35" s="99">
        <v>116.00133333333333</v>
      </c>
      <c r="N35" s="99">
        <v>112.83462159999999</v>
      </c>
      <c r="O35" s="99">
        <v>42.95549872122762</v>
      </c>
      <c r="P35" s="99">
        <v>1.6795599999999997</v>
      </c>
      <c r="Q35" s="99">
        <v>105.15533333333333</v>
      </c>
      <c r="R35" s="99">
        <v>16</v>
      </c>
      <c r="S35" s="99">
        <v>35.866666666666667</v>
      </c>
      <c r="T35" s="99">
        <v>56.266666666666673</v>
      </c>
      <c r="U35" s="99">
        <v>2.9519890260631008</v>
      </c>
      <c r="V35" s="99">
        <v>2.8077178975382573</v>
      </c>
      <c r="W35" s="99">
        <v>233.61316482850245</v>
      </c>
      <c r="X35" s="99">
        <v>228.83595493333334</v>
      </c>
      <c r="Y35" s="99">
        <v>1.0205795234308812</v>
      </c>
      <c r="Z35" s="99">
        <v>-4.777209895169098</v>
      </c>
      <c r="AA35" s="99">
        <v>1.3161207572599736</v>
      </c>
    </row>
    <row r="36" spans="1:27" x14ac:dyDescent="0.3">
      <c r="A36" t="s">
        <v>67</v>
      </c>
      <c r="B36" t="s">
        <v>81</v>
      </c>
      <c r="C36" s="99">
        <v>218.51</v>
      </c>
      <c r="D36" s="99">
        <v>170.33333333333334</v>
      </c>
      <c r="E36" s="99">
        <v>127.70640222012882</v>
      </c>
      <c r="F36" s="99">
        <v>3.1733333333333333</v>
      </c>
      <c r="G36" s="99">
        <v>6.6933333333333325</v>
      </c>
      <c r="H36" s="99">
        <v>136.59863945578232</v>
      </c>
      <c r="I36" s="99">
        <v>15.333333333333334</v>
      </c>
      <c r="J36" s="99">
        <v>141.72717693333331</v>
      </c>
      <c r="K36" s="99">
        <v>8.0986958247619043</v>
      </c>
      <c r="L36" s="99">
        <v>146.6028</v>
      </c>
      <c r="M36" s="99">
        <v>82.018933333333337</v>
      </c>
      <c r="N36" s="99">
        <v>108.57502005333333</v>
      </c>
      <c r="O36" s="99">
        <v>46.619948849104865</v>
      </c>
      <c r="P36" s="99">
        <v>1.82284</v>
      </c>
      <c r="Q36" s="99">
        <v>103.14536666666667</v>
      </c>
      <c r="R36" s="99">
        <v>16</v>
      </c>
      <c r="S36" s="99">
        <v>39.333333333333336</v>
      </c>
      <c r="T36" s="99">
        <v>53.866666666666667</v>
      </c>
      <c r="U36" s="99">
        <v>3.2373113854595332</v>
      </c>
      <c r="V36" s="99">
        <v>2.6879574184963406</v>
      </c>
      <c r="W36" s="99">
        <v>189.14385710884304</v>
      </c>
      <c r="X36" s="99">
        <v>190.5939533866667</v>
      </c>
      <c r="Y36" s="99">
        <v>0.9923061340863516</v>
      </c>
      <c r="Z36" s="99">
        <v>1.4500962778236233</v>
      </c>
      <c r="AA36" s="99">
        <v>1.1685543271642456</v>
      </c>
    </row>
    <row r="37" spans="1:27" x14ac:dyDescent="0.3">
      <c r="A37" t="s">
        <v>68</v>
      </c>
      <c r="B37" t="s">
        <v>81</v>
      </c>
      <c r="C37" s="99">
        <v>229.53333333333333</v>
      </c>
      <c r="D37" s="99">
        <v>173</v>
      </c>
      <c r="E37" s="99">
        <v>132.50215711916388</v>
      </c>
      <c r="F37" s="99">
        <v>3.3000000000000003</v>
      </c>
      <c r="G37" s="99">
        <v>6.0066666666666668</v>
      </c>
      <c r="H37" s="99">
        <v>122.58503401360544</v>
      </c>
      <c r="I37" s="99">
        <v>16.366666666666664</v>
      </c>
      <c r="J37" s="99">
        <v>152.90053638333333</v>
      </c>
      <c r="K37" s="99">
        <v>8.7371735076190475</v>
      </c>
      <c r="L37" s="99">
        <v>155.1046</v>
      </c>
      <c r="M37" s="99">
        <v>69.495466666666672</v>
      </c>
      <c r="N37" s="99">
        <v>104.23086656</v>
      </c>
      <c r="O37" s="99">
        <v>47.094970161977834</v>
      </c>
      <c r="P37" s="99">
        <v>1.8414133333333333</v>
      </c>
      <c r="Q37" s="99">
        <v>99.630266666666671</v>
      </c>
      <c r="R37" s="99">
        <v>16</v>
      </c>
      <c r="S37" s="99">
        <v>40.266666666666673</v>
      </c>
      <c r="T37" s="99">
        <v>44.933333333333337</v>
      </c>
      <c r="U37" s="99">
        <v>3.3141289437585737</v>
      </c>
      <c r="V37" s="99">
        <v>2.2421823020625418</v>
      </c>
      <c r="W37" s="99">
        <v>175.23631542140438</v>
      </c>
      <c r="X37" s="99">
        <v>173.72633322666664</v>
      </c>
      <c r="Y37" s="99">
        <v>1.0083240879567812</v>
      </c>
      <c r="Z37" s="99">
        <v>-1.5099821947377166</v>
      </c>
      <c r="AA37" s="99">
        <v>1.1114941181292852</v>
      </c>
    </row>
    <row r="38" spans="1:27" x14ac:dyDescent="0.3">
      <c r="A38" t="s">
        <v>69</v>
      </c>
      <c r="B38" t="s">
        <v>81</v>
      </c>
      <c r="C38" s="99">
        <v>237.13333333333333</v>
      </c>
      <c r="D38" s="99">
        <v>170</v>
      </c>
      <c r="E38" s="99">
        <v>138.88988272709204</v>
      </c>
      <c r="F38" s="99">
        <v>3.4</v>
      </c>
      <c r="G38" s="99">
        <v>5.4366666666666665</v>
      </c>
      <c r="H38" s="99">
        <v>110.95238095238095</v>
      </c>
      <c r="I38" s="99">
        <v>17.8</v>
      </c>
      <c r="J38" s="99">
        <v>168.54248179999999</v>
      </c>
      <c r="K38" s="99">
        <v>9.6309989599999994</v>
      </c>
      <c r="L38" s="99">
        <v>168.36736666666664</v>
      </c>
      <c r="M38" s="99">
        <v>57.747466666666668</v>
      </c>
      <c r="N38" s="99">
        <v>98.477282293333346</v>
      </c>
      <c r="O38" s="99">
        <v>48.655754475703326</v>
      </c>
      <c r="P38" s="99">
        <v>1.9024400000000001</v>
      </c>
      <c r="Q38" s="99">
        <v>94.654399999999995</v>
      </c>
      <c r="R38" s="99">
        <v>16</v>
      </c>
      <c r="S38" s="99">
        <v>43.6</v>
      </c>
      <c r="T38" s="99">
        <v>42.4</v>
      </c>
      <c r="U38" s="99">
        <v>3.5884773662551441</v>
      </c>
      <c r="V38" s="99">
        <v>2.1157684630738527</v>
      </c>
      <c r="W38" s="99">
        <v>165.31238125741328</v>
      </c>
      <c r="X38" s="99">
        <v>156.22474896000003</v>
      </c>
      <c r="Y38" s="99">
        <v>1.058380739710775</v>
      </c>
      <c r="Z38" s="99">
        <v>-9.0876322974132702</v>
      </c>
      <c r="AA38" s="99">
        <v>1.0150395902411748</v>
      </c>
    </row>
    <row r="39" spans="1:27" x14ac:dyDescent="0.3">
      <c r="A39" t="s">
        <v>70</v>
      </c>
      <c r="B39" t="s">
        <v>81</v>
      </c>
      <c r="C39" s="99">
        <v>242.05333333333331</v>
      </c>
      <c r="D39" s="99">
        <v>174</v>
      </c>
      <c r="E39" s="99">
        <v>138.96433230314116</v>
      </c>
      <c r="F39" s="99">
        <v>3.4433333333333334</v>
      </c>
      <c r="G39" s="99">
        <v>4.6900000000000004</v>
      </c>
      <c r="H39" s="99">
        <v>95.714285714285708</v>
      </c>
      <c r="I39" s="99">
        <v>19.099999999999998</v>
      </c>
      <c r="J39" s="99">
        <v>182.88035261666664</v>
      </c>
      <c r="K39" s="99">
        <v>10.450305863809524</v>
      </c>
      <c r="L39" s="99">
        <v>181.25116666666668</v>
      </c>
      <c r="M39" s="99">
        <v>46.123533333333334</v>
      </c>
      <c r="N39" s="99">
        <v>95.787344573333328</v>
      </c>
      <c r="O39" s="99">
        <v>51.709462915601023</v>
      </c>
      <c r="P39" s="99">
        <v>2.0218400000000001</v>
      </c>
      <c r="Q39" s="99">
        <v>92.733966666666674</v>
      </c>
      <c r="R39" s="99">
        <v>16</v>
      </c>
      <c r="S39" s="99">
        <v>47.333333333333336</v>
      </c>
      <c r="T39" s="99">
        <v>41.733333333333334</v>
      </c>
      <c r="U39" s="99">
        <v>3.8957475994513029</v>
      </c>
      <c r="V39" s="99">
        <v>2.0825016633399867</v>
      </c>
      <c r="W39" s="99">
        <v>153.40199789267805</v>
      </c>
      <c r="X39" s="99">
        <v>141.91087790666668</v>
      </c>
      <c r="Y39" s="99">
        <v>1.0812328367474697</v>
      </c>
      <c r="Z39" s="99">
        <v>-11.49111998601137</v>
      </c>
      <c r="AA39" s="99">
        <v>0.92721368145136795</v>
      </c>
    </row>
    <row r="40" spans="1:27" x14ac:dyDescent="0.3">
      <c r="A40" t="s">
        <v>71</v>
      </c>
      <c r="B40" t="s">
        <v>81</v>
      </c>
      <c r="C40" s="99">
        <v>250.40666666666664</v>
      </c>
      <c r="D40" s="99">
        <v>172.33333333333334</v>
      </c>
      <c r="E40" s="99">
        <v>144.84537880430852</v>
      </c>
      <c r="F40" s="99">
        <v>3.5399999999999996</v>
      </c>
      <c r="G40" s="99">
        <v>4.13</v>
      </c>
      <c r="H40" s="99">
        <v>84.285714285714292</v>
      </c>
      <c r="I40" s="99">
        <v>19.233333333333334</v>
      </c>
      <c r="J40" s="99">
        <v>184.35067194999996</v>
      </c>
      <c r="K40" s="99">
        <v>10.534324111428569</v>
      </c>
      <c r="L40" s="99">
        <v>179.88800000000001</v>
      </c>
      <c r="M40" s="99">
        <v>39.99346666666667</v>
      </c>
      <c r="N40" s="99">
        <v>87.964600826666654</v>
      </c>
      <c r="O40" s="99">
        <v>52.455924978687129</v>
      </c>
      <c r="P40" s="99">
        <v>2.0510266666666666</v>
      </c>
      <c r="Q40" s="99">
        <v>85.317033333333328</v>
      </c>
      <c r="R40" s="99">
        <v>16</v>
      </c>
      <c r="S40" s="99">
        <v>48.800000000000004</v>
      </c>
      <c r="T40" s="99">
        <v>46.93333333333333</v>
      </c>
      <c r="U40" s="99">
        <v>4.0164609053497946</v>
      </c>
      <c r="V40" s="99">
        <v>2.3419827012641385</v>
      </c>
      <c r="W40" s="99">
        <v>143.10008287101536</v>
      </c>
      <c r="X40" s="99">
        <v>127.95806749333333</v>
      </c>
      <c r="Y40" s="99">
        <v>1.1185002664609802</v>
      </c>
      <c r="Z40" s="99">
        <v>-15.142015377682023</v>
      </c>
      <c r="AA40" s="99">
        <v>0.84102743576105821</v>
      </c>
    </row>
    <row r="41" spans="1:27" x14ac:dyDescent="0.3">
      <c r="A41" t="s">
        <v>72</v>
      </c>
      <c r="B41" t="s">
        <v>81</v>
      </c>
      <c r="C41" s="99">
        <v>285.33333333333331</v>
      </c>
      <c r="D41" s="99">
        <v>189.33333333333334</v>
      </c>
      <c r="E41" s="99">
        <v>150.41326292118296</v>
      </c>
      <c r="F41" s="99">
        <v>3.5133333333333332</v>
      </c>
      <c r="G41" s="99">
        <v>4.59</v>
      </c>
      <c r="H41" s="99">
        <v>93.673469387755105</v>
      </c>
      <c r="I41" s="99">
        <v>19.866666666666664</v>
      </c>
      <c r="J41" s="99">
        <v>191.38952829999997</v>
      </c>
      <c r="K41" s="99">
        <v>10.936544474285713</v>
      </c>
      <c r="L41" s="99">
        <v>195.1</v>
      </c>
      <c r="M41" s="99">
        <v>41.88666666666667</v>
      </c>
      <c r="N41" s="99">
        <v>103.49289733333335</v>
      </c>
      <c r="O41" s="99">
        <v>54.627450980392155</v>
      </c>
      <c r="P41" s="99">
        <v>2.1359333333333335</v>
      </c>
      <c r="Q41" s="99">
        <v>100.71999999999998</v>
      </c>
      <c r="R41" s="99">
        <v>16</v>
      </c>
      <c r="S41" s="99">
        <v>52.800000000000004</v>
      </c>
      <c r="T41" s="99">
        <v>50.133333333333333</v>
      </c>
      <c r="U41" s="99">
        <v>4.3456790123456797</v>
      </c>
      <c r="V41" s="99">
        <v>2.5016633399866932</v>
      </c>
      <c r="W41" s="99">
        <v>155.14826272047966</v>
      </c>
      <c r="X41" s="99">
        <v>145.37956400000002</v>
      </c>
      <c r="Y41" s="99">
        <v>1.0673315818091529</v>
      </c>
      <c r="Z41" s="99">
        <v>-9.7686987204796392</v>
      </c>
      <c r="AA41" s="99">
        <v>0.95001504486816746</v>
      </c>
    </row>
    <row r="42" spans="1:27" x14ac:dyDescent="0.3">
      <c r="A42" t="s">
        <v>73</v>
      </c>
      <c r="B42" t="s">
        <v>81</v>
      </c>
      <c r="C42" s="99">
        <v>308.74333333333328</v>
      </c>
      <c r="D42" s="99">
        <v>208</v>
      </c>
      <c r="E42" s="99">
        <v>147.63312045582603</v>
      </c>
      <c r="F42" s="99">
        <v>3.6666666666666665</v>
      </c>
      <c r="G42" s="99">
        <v>3.2366666666666668</v>
      </c>
      <c r="H42" s="99">
        <v>66.054421768707485</v>
      </c>
      <c r="I42" s="99">
        <v>20.5</v>
      </c>
      <c r="J42" s="99">
        <v>198.45706584999996</v>
      </c>
      <c r="K42" s="99">
        <v>11.340403762857141</v>
      </c>
      <c r="L42" s="99">
        <v>199.06666666666669</v>
      </c>
      <c r="M42" s="99">
        <v>35.586666666666666</v>
      </c>
      <c r="N42" s="99">
        <v>83.692504</v>
      </c>
      <c r="O42" s="99">
        <v>54.356010230179017</v>
      </c>
      <c r="P42" s="99">
        <v>2.1253199999999999</v>
      </c>
      <c r="Q42" s="99">
        <v>81.336666666666659</v>
      </c>
      <c r="R42" s="99">
        <v>16</v>
      </c>
      <c r="S42" s="99">
        <v>52.800000000000004</v>
      </c>
      <c r="T42" s="99">
        <v>49.733333333333327</v>
      </c>
      <c r="U42" s="99">
        <v>4.3456790123456797</v>
      </c>
      <c r="V42" s="99">
        <v>2.4817032601463738</v>
      </c>
      <c r="W42" s="99">
        <v>127.23781427137857</v>
      </c>
      <c r="X42" s="99">
        <v>119.27917066666667</v>
      </c>
      <c r="Y42" s="99">
        <v>1.0664845590319427</v>
      </c>
      <c r="Z42" s="99">
        <v>-7.9586436047118951</v>
      </c>
      <c r="AA42" s="99">
        <v>0.77053173034775957</v>
      </c>
    </row>
    <row r="43" spans="1:27" x14ac:dyDescent="0.3">
      <c r="A43" t="s">
        <v>61</v>
      </c>
      <c r="B43" t="s">
        <v>76</v>
      </c>
      <c r="C43" s="99">
        <v>9.864371917833056</v>
      </c>
      <c r="D43" s="99">
        <v>10.016652800877813</v>
      </c>
      <c r="E43" s="99">
        <v>2.6786675245247338</v>
      </c>
      <c r="F43" s="99">
        <v>5.7735026918963907E-3</v>
      </c>
      <c r="G43" s="99">
        <v>0.25146238950056427</v>
      </c>
      <c r="H43" s="99">
        <v>5.1318855000115029</v>
      </c>
      <c r="I43" s="99">
        <v>0</v>
      </c>
      <c r="J43" s="99">
        <v>4.3511678576336583E-15</v>
      </c>
      <c r="K43" s="99">
        <v>0</v>
      </c>
      <c r="L43" s="99">
        <v>0.23880344079039867</v>
      </c>
      <c r="M43" s="99">
        <v>36.807415466632989</v>
      </c>
      <c r="N43" s="99">
        <v>4.9780143861215809</v>
      </c>
      <c r="O43" s="99">
        <v>1.3349670243847547</v>
      </c>
      <c r="P43" s="99">
        <v>5.2197210653443932E-2</v>
      </c>
      <c r="Q43" s="99">
        <v>4.5116203862913746</v>
      </c>
      <c r="R43" s="99">
        <v>1</v>
      </c>
      <c r="S43" s="99">
        <v>1.4047538337136989</v>
      </c>
      <c r="T43" s="99">
        <v>2.6229754097208016</v>
      </c>
      <c r="U43" s="99">
        <v>0.11561759948260907</v>
      </c>
      <c r="V43" s="99">
        <v>0.13088699649305402</v>
      </c>
      <c r="W43" s="99">
        <v>6.1990816188988207</v>
      </c>
      <c r="X43" s="99">
        <v>39.193238063409602</v>
      </c>
      <c r="Y43" s="99">
        <v>5.4171304800683204E-2</v>
      </c>
      <c r="Z43" s="99">
        <v>38.209556626460454</v>
      </c>
      <c r="AA43" s="99">
        <v>0.29905100592926254</v>
      </c>
    </row>
    <row r="44" spans="1:27" x14ac:dyDescent="0.3">
      <c r="A44" t="s">
        <v>62</v>
      </c>
      <c r="B44" t="s">
        <v>76</v>
      </c>
      <c r="C44" s="99">
        <v>7.9530895464173739</v>
      </c>
      <c r="D44" s="99">
        <v>8.736894948054104</v>
      </c>
      <c r="E44" s="99">
        <v>2.9259115216776896</v>
      </c>
      <c r="F44" s="99">
        <v>5.7735026918961348E-3</v>
      </c>
      <c r="G44" s="99">
        <v>0.46112182049143191</v>
      </c>
      <c r="H44" s="99">
        <v>9.4106493977843222</v>
      </c>
      <c r="I44" s="99">
        <v>5.7735026918962373E-2</v>
      </c>
      <c r="J44" s="99">
        <v>0.57250044032589253</v>
      </c>
      <c r="K44" s="99">
        <v>3.2714310875765214E-2</v>
      </c>
      <c r="L44" s="99">
        <v>0.86614567673881115</v>
      </c>
      <c r="M44" s="99">
        <v>8.2964349773462107</v>
      </c>
      <c r="N44" s="99">
        <v>4.8191817642866797</v>
      </c>
      <c r="O44" s="99">
        <v>1.3349670243847549</v>
      </c>
      <c r="P44" s="99">
        <v>5.2197210653443939E-2</v>
      </c>
      <c r="Q44" s="99">
        <v>4.3377441376057853</v>
      </c>
      <c r="R44" s="99">
        <v>1</v>
      </c>
      <c r="S44" s="99">
        <v>2.0526405757787538</v>
      </c>
      <c r="T44" s="99">
        <v>7.7390783258301026</v>
      </c>
      <c r="U44" s="99">
        <v>0.16894161117520595</v>
      </c>
      <c r="V44" s="99">
        <v>0.38618155318513531</v>
      </c>
      <c r="W44" s="99">
        <v>10.004139507804993</v>
      </c>
      <c r="X44" s="99">
        <v>12.775188134709856</v>
      </c>
      <c r="Y44" s="99">
        <v>3.7735012658183485E-3</v>
      </c>
      <c r="Z44" s="99">
        <v>3.0144622686002416</v>
      </c>
      <c r="AA44" s="99">
        <v>0.20605918612714455</v>
      </c>
    </row>
    <row r="45" spans="1:27" x14ac:dyDescent="0.3">
      <c r="A45" t="s">
        <v>63</v>
      </c>
      <c r="B45" t="s">
        <v>76</v>
      </c>
      <c r="C45" s="99">
        <v>9.1151540487988072</v>
      </c>
      <c r="D45" s="99">
        <v>14.502873278538061</v>
      </c>
      <c r="E45" s="99">
        <v>3.9447095411089479</v>
      </c>
      <c r="F45" s="99">
        <v>1.7320508075688915E-2</v>
      </c>
      <c r="G45" s="99">
        <v>0.26102362600602491</v>
      </c>
      <c r="H45" s="99">
        <v>5.3270127756331815</v>
      </c>
      <c r="I45" s="99">
        <v>0.59999999999999964</v>
      </c>
      <c r="J45" s="99">
        <v>6.0189176946258307</v>
      </c>
      <c r="K45" s="99">
        <v>0.3439381539786216</v>
      </c>
      <c r="L45" s="99">
        <v>4.9542534334986463</v>
      </c>
      <c r="M45" s="99">
        <v>9.5616856951759956</v>
      </c>
      <c r="N45" s="99">
        <v>3.4328289156369762</v>
      </c>
      <c r="O45" s="99">
        <v>1.963259848018003</v>
      </c>
      <c r="P45" s="99">
        <v>7.6763460057503896E-2</v>
      </c>
      <c r="Q45" s="99">
        <v>4.0611095433801481</v>
      </c>
      <c r="R45" s="99">
        <v>1</v>
      </c>
      <c r="S45" s="99">
        <v>1.0066445913694333</v>
      </c>
      <c r="T45" s="99">
        <v>7.6628976242672087</v>
      </c>
      <c r="U45" s="99">
        <v>8.2851406697072763E-2</v>
      </c>
      <c r="V45" s="99">
        <v>0.38238012097141755</v>
      </c>
      <c r="W45" s="99">
        <v>3.9743663286290669</v>
      </c>
      <c r="X45" s="99">
        <v>6.1757781990639371</v>
      </c>
      <c r="Y45" s="99">
        <v>6.8486273710293335E-3</v>
      </c>
      <c r="Z45" s="99">
        <v>3.9319487897533487</v>
      </c>
      <c r="AA45" s="99">
        <v>0.30440287335971417</v>
      </c>
    </row>
    <row r="46" spans="1:27" x14ac:dyDescent="0.3">
      <c r="A46" t="s">
        <v>64</v>
      </c>
      <c r="B46" t="s">
        <v>76</v>
      </c>
      <c r="C46" s="99">
        <v>5.4647445807954709</v>
      </c>
      <c r="D46" s="99">
        <v>5.196152422706632</v>
      </c>
      <c r="E46" s="99">
        <v>1.3390950441637168</v>
      </c>
      <c r="F46" s="99">
        <v>3.4641016151377581E-2</v>
      </c>
      <c r="G46" s="99">
        <v>0.92651677444789571</v>
      </c>
      <c r="H46" s="99">
        <v>18.908505600977449</v>
      </c>
      <c r="I46" s="99">
        <v>0.60277137733417141</v>
      </c>
      <c r="J46" s="99">
        <v>6.1756088651260148</v>
      </c>
      <c r="K46" s="99">
        <v>0.3528919351500579</v>
      </c>
      <c r="L46" s="99">
        <v>7.6024464551441158</v>
      </c>
      <c r="M46" s="99">
        <v>23.725741997529461</v>
      </c>
      <c r="N46" s="99">
        <v>3.5085276451003389</v>
      </c>
      <c r="O46" s="99">
        <v>2.4116636133943423</v>
      </c>
      <c r="P46" s="99">
        <v>9.4296047283718779E-2</v>
      </c>
      <c r="Q46" s="99">
        <v>4.7630215801876625</v>
      </c>
      <c r="R46" s="99">
        <v>1</v>
      </c>
      <c r="S46" s="99">
        <v>0.83266639978645351</v>
      </c>
      <c r="T46" s="99">
        <v>4.0066611203511284</v>
      </c>
      <c r="U46" s="99">
        <v>6.853221397419379E-2</v>
      </c>
      <c r="V46" s="99">
        <v>0.19993318963828002</v>
      </c>
      <c r="W46" s="99">
        <v>16.71404284588759</v>
      </c>
      <c r="X46" s="99">
        <v>21.348043171130076</v>
      </c>
      <c r="Y46" s="99">
        <v>7.2819555907345668E-3</v>
      </c>
      <c r="Z46" s="99">
        <v>4.6397138001171463</v>
      </c>
      <c r="AA46" s="99">
        <v>0.2524253598769407</v>
      </c>
    </row>
    <row r="47" spans="1:27" x14ac:dyDescent="0.3">
      <c r="A47" t="s">
        <v>65</v>
      </c>
      <c r="B47" t="s">
        <v>76</v>
      </c>
      <c r="C47" s="99">
        <v>12.782538871444906</v>
      </c>
      <c r="D47" s="99">
        <v>3.6055512754639891</v>
      </c>
      <c r="E47" s="99">
        <v>5.3105792468395805</v>
      </c>
      <c r="F47" s="99">
        <v>4.7258156262526253E-2</v>
      </c>
      <c r="G47" s="99">
        <v>1.1116354318450516</v>
      </c>
      <c r="H47" s="99">
        <v>22.686437384592878</v>
      </c>
      <c r="I47" s="99">
        <v>0.52915026221291828</v>
      </c>
      <c r="J47" s="99">
        <v>5.5960573452670772</v>
      </c>
      <c r="K47" s="99">
        <v>0.31977470544383335</v>
      </c>
      <c r="L47" s="99">
        <v>7.0590084806578872</v>
      </c>
      <c r="M47" s="99">
        <v>28.205067511589576</v>
      </c>
      <c r="N47" s="99">
        <v>4.9366878743782561</v>
      </c>
      <c r="O47" s="99">
        <v>3.6436560722565798</v>
      </c>
      <c r="P47" s="99">
        <v>0.14246695242523177</v>
      </c>
      <c r="Q47" s="99">
        <v>6.7949249961521483</v>
      </c>
      <c r="R47" s="99">
        <v>1</v>
      </c>
      <c r="S47" s="99">
        <v>2.0132891827388666</v>
      </c>
      <c r="T47" s="99">
        <v>0.46188021535169899</v>
      </c>
      <c r="U47" s="99">
        <v>0.16570281339414553</v>
      </c>
      <c r="V47" s="99">
        <v>2.3047914937709451E-2</v>
      </c>
      <c r="W47" s="99">
        <v>18.915404785059053</v>
      </c>
      <c r="X47" s="99">
        <v>23.307801358537326</v>
      </c>
      <c r="Y47" s="99">
        <v>1.170766651698598E-2</v>
      </c>
      <c r="Z47" s="99">
        <v>4.4756880627942</v>
      </c>
      <c r="AA47" s="99">
        <v>0.25386731525132045</v>
      </c>
    </row>
    <row r="48" spans="1:27" x14ac:dyDescent="0.3">
      <c r="A48" t="s">
        <v>66</v>
      </c>
      <c r="B48" t="s">
        <v>76</v>
      </c>
      <c r="C48" s="99">
        <v>4.3200810177588167</v>
      </c>
      <c r="D48" s="99">
        <v>1.5275252316519468</v>
      </c>
      <c r="E48" s="99">
        <v>2.829946498837792</v>
      </c>
      <c r="F48" s="99">
        <v>4.0414518843273968E-2</v>
      </c>
      <c r="G48" s="99">
        <v>0.8792610533851708</v>
      </c>
      <c r="H48" s="99">
        <v>17.944103130309603</v>
      </c>
      <c r="I48" s="99">
        <v>0.3785938897200179</v>
      </c>
      <c r="J48" s="99">
        <v>4.0593047439155807</v>
      </c>
      <c r="K48" s="99">
        <v>0.23196027108089057</v>
      </c>
      <c r="L48" s="99">
        <v>4.888329886576801</v>
      </c>
      <c r="M48" s="99">
        <v>20.951043211337595</v>
      </c>
      <c r="N48" s="99">
        <v>2.5901941819431649</v>
      </c>
      <c r="O48" s="99">
        <v>3.1626050937405044</v>
      </c>
      <c r="P48" s="99">
        <v>0.12365785916525207</v>
      </c>
      <c r="Q48" s="99">
        <v>3.951447532656021</v>
      </c>
      <c r="R48" s="99">
        <v>1</v>
      </c>
      <c r="S48" s="99">
        <v>1.3856406460551032</v>
      </c>
      <c r="T48" s="99">
        <v>0.61101009266078032</v>
      </c>
      <c r="U48" s="99">
        <v>0.11404449761770359</v>
      </c>
      <c r="V48" s="99">
        <v>3.0489525581875263E-2</v>
      </c>
      <c r="W48" s="99">
        <v>14.645910933797666</v>
      </c>
      <c r="X48" s="99">
        <v>18.444497355266051</v>
      </c>
      <c r="Y48" s="99">
        <v>1.6341478529001224E-2</v>
      </c>
      <c r="Z48" s="99">
        <v>3.8002591311717966</v>
      </c>
      <c r="AA48" s="99">
        <v>0.23360308763784596</v>
      </c>
    </row>
    <row r="49" spans="1:27" x14ac:dyDescent="0.3">
      <c r="A49" t="s">
        <v>67</v>
      </c>
      <c r="B49" t="s">
        <v>76</v>
      </c>
      <c r="C49" s="99">
        <v>1.9082015966174322</v>
      </c>
      <c r="D49" s="99">
        <v>0.57735026918962584</v>
      </c>
      <c r="E49" s="99">
        <v>1.2567709964387372</v>
      </c>
      <c r="F49" s="99">
        <v>4.0414518843273621E-2</v>
      </c>
      <c r="G49" s="99">
        <v>0.65779936150774754</v>
      </c>
      <c r="H49" s="99">
        <v>13.424476765464233</v>
      </c>
      <c r="I49" s="99">
        <v>0.62449979983984027</v>
      </c>
      <c r="J49" s="99">
        <v>6.7704523806909034</v>
      </c>
      <c r="K49" s="99">
        <v>0.38688299318233726</v>
      </c>
      <c r="L49" s="99">
        <v>6.7726934976664452</v>
      </c>
      <c r="M49" s="99">
        <v>16.791270179570461</v>
      </c>
      <c r="N49" s="99">
        <v>5.3543913394514036</v>
      </c>
      <c r="O49" s="99">
        <v>2.9242938270121934</v>
      </c>
      <c r="P49" s="99">
        <v>0.11433988863617679</v>
      </c>
      <c r="Q49" s="99">
        <v>6.1864790489690789</v>
      </c>
      <c r="R49" s="99">
        <v>1</v>
      </c>
      <c r="S49" s="99">
        <v>1.8903262505010405</v>
      </c>
      <c r="T49" s="99">
        <v>1.6165807537309536</v>
      </c>
      <c r="U49" s="99">
        <v>0.15558240744864602</v>
      </c>
      <c r="V49" s="99">
        <v>8.0667702281983306E-2</v>
      </c>
      <c r="W49" s="99">
        <v>10.97662156693422</v>
      </c>
      <c r="X49" s="99">
        <v>13.57278398798405</v>
      </c>
      <c r="Y49" s="99">
        <v>1.2575155734342893E-2</v>
      </c>
      <c r="Z49" s="99">
        <v>2.5964818677863333</v>
      </c>
      <c r="AA49" s="99">
        <v>0.11491764095715869</v>
      </c>
    </row>
    <row r="50" spans="1:27" x14ac:dyDescent="0.3">
      <c r="A50" t="s">
        <v>68</v>
      </c>
      <c r="B50" t="s">
        <v>76</v>
      </c>
      <c r="C50" s="99">
        <v>13.629427720927975</v>
      </c>
      <c r="D50" s="99">
        <v>11.590225767142472</v>
      </c>
      <c r="E50" s="99">
        <v>4.867463736264642</v>
      </c>
      <c r="F50" s="99">
        <v>4.6188021535170098E-2</v>
      </c>
      <c r="G50" s="99">
        <v>0.42438190347845905</v>
      </c>
      <c r="H50" s="99">
        <v>8.6608551730297805</v>
      </c>
      <c r="I50" s="99">
        <v>0.34641016151377629</v>
      </c>
      <c r="J50" s="99">
        <v>3.7924031854583977</v>
      </c>
      <c r="K50" s="99">
        <v>0.21670875345476545</v>
      </c>
      <c r="L50" s="99">
        <v>3.1780090455084151</v>
      </c>
      <c r="M50" s="99">
        <v>10.501899489774914</v>
      </c>
      <c r="N50" s="99">
        <v>3.7137102042763264</v>
      </c>
      <c r="O50" s="99">
        <v>2.9665071480883087</v>
      </c>
      <c r="P50" s="99">
        <v>0.1159904294902529</v>
      </c>
      <c r="Q50" s="99">
        <v>4.4063648105136899</v>
      </c>
      <c r="R50" s="99">
        <v>1</v>
      </c>
      <c r="S50" s="99">
        <v>2.3437861108329243</v>
      </c>
      <c r="T50" s="99">
        <v>2.8936712552280963</v>
      </c>
      <c r="U50" s="99">
        <v>0.19290420665291552</v>
      </c>
      <c r="V50" s="99">
        <v>0.14439477321497471</v>
      </c>
      <c r="W50" s="99">
        <v>5.549462095824345</v>
      </c>
      <c r="X50" s="99">
        <v>6.813361211650494</v>
      </c>
      <c r="Y50" s="99">
        <v>8.5189920622979354E-3</v>
      </c>
      <c r="Z50" s="99">
        <v>1.3050527810708816</v>
      </c>
      <c r="AA50" s="99">
        <v>0.12738004839307263</v>
      </c>
    </row>
    <row r="51" spans="1:27" x14ac:dyDescent="0.3">
      <c r="A51" t="s">
        <v>69</v>
      </c>
      <c r="B51" t="s">
        <v>76</v>
      </c>
      <c r="C51" s="99">
        <v>11.607899609030639</v>
      </c>
      <c r="D51" s="99">
        <v>7.3711147958319936</v>
      </c>
      <c r="E51" s="99">
        <v>5.2032695299474625</v>
      </c>
      <c r="F51" s="99">
        <v>5.773502691896263E-2</v>
      </c>
      <c r="G51" s="99">
        <v>0.41428653530296289</v>
      </c>
      <c r="H51" s="99">
        <v>8.4548272510808786</v>
      </c>
      <c r="I51" s="99">
        <v>0.41633319989322704</v>
      </c>
      <c r="J51" s="99">
        <v>4.5951537830714813</v>
      </c>
      <c r="K51" s="99">
        <v>0.26258021617551353</v>
      </c>
      <c r="L51" s="99">
        <v>3.6089744725244826</v>
      </c>
      <c r="M51" s="99">
        <v>8.815417408343972</v>
      </c>
      <c r="N51" s="99">
        <v>0.73420269238598634</v>
      </c>
      <c r="O51" s="99">
        <v>2.118933677205936</v>
      </c>
      <c r="P51" s="99">
        <v>8.2850306778752159E-2</v>
      </c>
      <c r="Q51" s="99">
        <v>0.49899320970663985</v>
      </c>
      <c r="R51" s="99">
        <v>1</v>
      </c>
      <c r="S51" s="99">
        <v>1.2220201853215562</v>
      </c>
      <c r="T51" s="99">
        <v>0.69282032302755248</v>
      </c>
      <c r="U51" s="99">
        <v>0.10057779303058083</v>
      </c>
      <c r="V51" s="99">
        <v>3.4571872406564431E-2</v>
      </c>
      <c r="W51" s="99">
        <v>6.4515769744653628</v>
      </c>
      <c r="X51" s="99">
        <v>9.3689223513774742</v>
      </c>
      <c r="Y51" s="99">
        <v>2.423096591596512E-2</v>
      </c>
      <c r="Z51" s="99">
        <v>2.9965964096007878</v>
      </c>
      <c r="AA51" s="99">
        <v>0.12274452194066966</v>
      </c>
    </row>
    <row r="52" spans="1:27" x14ac:dyDescent="0.3">
      <c r="A52" t="s">
        <v>70</v>
      </c>
      <c r="B52" t="s">
        <v>76</v>
      </c>
      <c r="C52" s="99">
        <v>5.6216812431869441</v>
      </c>
      <c r="D52" s="99">
        <v>9.1651513899116797</v>
      </c>
      <c r="E52" s="99">
        <v>4.6616555913822273</v>
      </c>
      <c r="F52" s="99">
        <v>5.7735026918962373E-2</v>
      </c>
      <c r="G52" s="99">
        <v>0.25357444666211965</v>
      </c>
      <c r="H52" s="99">
        <v>5.1749887073902023</v>
      </c>
      <c r="I52" s="99">
        <v>0.58594652770823241</v>
      </c>
      <c r="J52" s="99">
        <v>6.5212455818654949</v>
      </c>
      <c r="K52" s="99">
        <v>0.37264260467802851</v>
      </c>
      <c r="L52" s="99">
        <v>5.9111915304784377</v>
      </c>
      <c r="M52" s="99">
        <v>7.523669375377902</v>
      </c>
      <c r="N52" s="99">
        <v>2.712792161926906</v>
      </c>
      <c r="O52" s="99">
        <v>3.2317412433873391</v>
      </c>
      <c r="P52" s="99">
        <v>0.12636108261644505</v>
      </c>
      <c r="Q52" s="99">
        <v>3.1482638077729965</v>
      </c>
      <c r="R52" s="99">
        <v>1</v>
      </c>
      <c r="S52" s="99">
        <v>2.571640202931456</v>
      </c>
      <c r="T52" s="99">
        <v>1.385640646055101</v>
      </c>
      <c r="U52" s="99">
        <v>0.21165762987090131</v>
      </c>
      <c r="V52" s="99">
        <v>6.9143744813128863E-2</v>
      </c>
      <c r="W52" s="99">
        <v>2.1455206099753066</v>
      </c>
      <c r="X52" s="99">
        <v>5.3997587398882922</v>
      </c>
      <c r="Y52" s="99">
        <v>2.7937522463765015E-2</v>
      </c>
      <c r="Z52" s="99">
        <v>3.2889821607249288</v>
      </c>
      <c r="AA52" s="99">
        <v>0.10906400632180861</v>
      </c>
    </row>
    <row r="53" spans="1:27" x14ac:dyDescent="0.3">
      <c r="A53" t="s">
        <v>71</v>
      </c>
      <c r="B53" t="s">
        <v>76</v>
      </c>
      <c r="C53" s="99">
        <v>16.698634674727138</v>
      </c>
      <c r="D53" s="99">
        <v>10.969655114602888</v>
      </c>
      <c r="E53" s="99">
        <v>4.2684008355619261</v>
      </c>
      <c r="F53" s="99">
        <v>6.4291005073286431E-2</v>
      </c>
      <c r="G53" s="99">
        <v>0.26689573494781305</v>
      </c>
      <c r="H53" s="99">
        <v>5.4468517336288382</v>
      </c>
      <c r="I53" s="99">
        <v>0.66583281184793985</v>
      </c>
      <c r="J53" s="99">
        <v>7.4052045863328981</v>
      </c>
      <c r="K53" s="99">
        <v>0.42315454779045159</v>
      </c>
      <c r="L53" s="99">
        <v>6.9859061898463377</v>
      </c>
      <c r="M53" s="99">
        <v>4.7759418854644196</v>
      </c>
      <c r="N53" s="99">
        <v>3.8331964923994906</v>
      </c>
      <c r="O53" s="99">
        <v>4.0169562745818155</v>
      </c>
      <c r="P53" s="99">
        <v>0.15706299033614815</v>
      </c>
      <c r="Q53" s="99">
        <v>4.0193269291429017</v>
      </c>
      <c r="R53" s="99">
        <v>1</v>
      </c>
      <c r="S53" s="99">
        <v>2.800000000000002</v>
      </c>
      <c r="T53" s="99">
        <v>1.5143755588800716</v>
      </c>
      <c r="U53" s="99">
        <v>0.23045267489711913</v>
      </c>
      <c r="V53" s="99">
        <v>7.5567642658686332E-2</v>
      </c>
      <c r="W53" s="99">
        <v>3.6959013023838101</v>
      </c>
      <c r="X53" s="99">
        <v>4.1151621793421063</v>
      </c>
      <c r="Y53" s="99">
        <v>1.3102841988160871E-2</v>
      </c>
      <c r="Z53" s="99">
        <v>1.2606791969139657</v>
      </c>
      <c r="AA53" s="99">
        <v>0.11113689374945585</v>
      </c>
    </row>
    <row r="54" spans="1:27" x14ac:dyDescent="0.3">
      <c r="A54" t="s">
        <v>72</v>
      </c>
      <c r="B54" t="s">
        <v>76</v>
      </c>
      <c r="C54" s="99">
        <v>3.0410360076789811</v>
      </c>
      <c r="D54" s="99">
        <v>7.2341781380702344</v>
      </c>
      <c r="E54" s="99">
        <v>4.4089708720983731</v>
      </c>
      <c r="F54" s="99">
        <v>6.4291005073286431E-2</v>
      </c>
      <c r="G54" s="99">
        <v>0.23713568549109881</v>
      </c>
      <c r="H54" s="99">
        <v>4.8395037855326279</v>
      </c>
      <c r="I54" s="99">
        <v>0.85049005481153683</v>
      </c>
      <c r="J54" s="99">
        <v>9.4901516472817899</v>
      </c>
      <c r="K54" s="99">
        <v>0.54229437984467399</v>
      </c>
      <c r="L54" s="99">
        <v>7.347088567816054</v>
      </c>
      <c r="M54" s="99">
        <v>4.2085450328270468</v>
      </c>
      <c r="N54" s="99">
        <v>5.1178626101264175</v>
      </c>
      <c r="O54" s="99">
        <v>4.5884728516569506</v>
      </c>
      <c r="P54" s="99">
        <v>0.17940928849978754</v>
      </c>
      <c r="Q54" s="99">
        <v>5.322716598692816</v>
      </c>
      <c r="R54" s="99">
        <v>1</v>
      </c>
      <c r="S54" s="99">
        <v>3.7166292972710253</v>
      </c>
      <c r="T54" s="99">
        <v>3.1749015732775083</v>
      </c>
      <c r="U54" s="99">
        <v>0.30589541541325316</v>
      </c>
      <c r="V54" s="99">
        <v>0.15842822221943645</v>
      </c>
      <c r="W54" s="99">
        <v>3.9441619974268445</v>
      </c>
      <c r="X54" s="99">
        <v>3.5733489391186892</v>
      </c>
      <c r="Y54" s="99">
        <v>3.2010416636884904E-3</v>
      </c>
      <c r="Z54" s="99">
        <v>0.50643515720978483</v>
      </c>
      <c r="AA54" s="99">
        <v>0.10663855468940103</v>
      </c>
    </row>
    <row r="55" spans="1:27" x14ac:dyDescent="0.3">
      <c r="A55" t="s">
        <v>73</v>
      </c>
      <c r="B55" t="s">
        <v>76</v>
      </c>
      <c r="C55" s="99">
        <v>9.7351955981034823</v>
      </c>
      <c r="D55" s="99">
        <v>14.742229591663989</v>
      </c>
      <c r="E55" s="99">
        <v>6.010917497638939</v>
      </c>
      <c r="F55" s="99">
        <v>2.5166114784235971E-2</v>
      </c>
      <c r="G55" s="99">
        <v>0.27024680078279067</v>
      </c>
      <c r="H55" s="99">
        <v>5.5152408323018474</v>
      </c>
      <c r="I55" s="99">
        <v>0.72341781380702441</v>
      </c>
      <c r="J55" s="99">
        <v>8.0910134524212793</v>
      </c>
      <c r="K55" s="99">
        <v>0.46234362585264493</v>
      </c>
      <c r="L55" s="99">
        <v>5.8960438713881169</v>
      </c>
      <c r="M55" s="99">
        <v>3.0542811483773602</v>
      </c>
      <c r="N55" s="99">
        <v>3.5501037697319968</v>
      </c>
      <c r="O55" s="99">
        <v>3.9806811469209582</v>
      </c>
      <c r="P55" s="99">
        <v>0.1556446328446093</v>
      </c>
      <c r="Q55" s="99">
        <v>3.7333943447395601</v>
      </c>
      <c r="R55" s="99">
        <v>1</v>
      </c>
      <c r="S55" s="99">
        <v>2.6633312473917559</v>
      </c>
      <c r="T55" s="99">
        <v>3.1069813860616127</v>
      </c>
      <c r="U55" s="99">
        <v>0.21920421789232575</v>
      </c>
      <c r="V55" s="99">
        <v>0.15503899132043966</v>
      </c>
      <c r="W55" s="99">
        <v>1.8429436104813508</v>
      </c>
      <c r="X55" s="99">
        <v>1.5437987225883278</v>
      </c>
      <c r="Y55" s="99">
        <v>3.3101487787663267E-2</v>
      </c>
      <c r="Z55" s="99">
        <v>3.3810287991216756</v>
      </c>
      <c r="AA55" s="99">
        <v>9.7490484667545826E-2</v>
      </c>
    </row>
    <row r="56" spans="1:27" x14ac:dyDescent="0.3">
      <c r="A56" t="s">
        <v>61</v>
      </c>
      <c r="B56" t="s">
        <v>82</v>
      </c>
      <c r="C56" s="99">
        <v>8.8551077539086567</v>
      </c>
      <c r="D56" s="99">
        <v>15.50268793897798</v>
      </c>
      <c r="E56" s="99">
        <v>1.6702298051932174</v>
      </c>
      <c r="F56" s="99">
        <v>5.7735026918961348E-3</v>
      </c>
      <c r="G56" s="99">
        <v>0.13868429375143099</v>
      </c>
      <c r="H56" s="99">
        <v>2.8302917092128506</v>
      </c>
      <c r="I56" s="99">
        <v>5.7735026918962887E-2</v>
      </c>
      <c r="J56" s="99">
        <v>0.57066054048803816</v>
      </c>
      <c r="K56" s="99">
        <v>3.2609173742173543E-2</v>
      </c>
      <c r="L56" s="99">
        <v>0.4202479426878058</v>
      </c>
      <c r="M56" s="99">
        <v>5.3702886328390314</v>
      </c>
      <c r="N56" s="99">
        <v>2.5084447310900342</v>
      </c>
      <c r="O56" s="99">
        <v>0.82276104857406429</v>
      </c>
      <c r="P56" s="99">
        <v>3.2169956999245915E-2</v>
      </c>
      <c r="Q56" s="99">
        <v>2.4045678870294611</v>
      </c>
      <c r="R56" s="99">
        <v>1</v>
      </c>
      <c r="S56" s="99">
        <v>0.23094010767585155</v>
      </c>
      <c r="T56" s="99">
        <v>3.0022213997860474</v>
      </c>
      <c r="U56" s="99">
        <v>1.9007416269617224E-2</v>
      </c>
      <c r="V56" s="99">
        <v>0.14981144709511207</v>
      </c>
      <c r="W56" s="99">
        <v>2.6807645663143402</v>
      </c>
      <c r="X56" s="99">
        <v>6.6895957253733132</v>
      </c>
      <c r="Y56" s="99">
        <v>6.0706047823424134E-3</v>
      </c>
      <c r="Z56" s="99">
        <v>4.1722504495153556</v>
      </c>
      <c r="AA56" s="99">
        <v>0.16537715991283886</v>
      </c>
    </row>
    <row r="57" spans="1:27" x14ac:dyDescent="0.3">
      <c r="A57" t="s">
        <v>62</v>
      </c>
      <c r="B57" t="s">
        <v>82</v>
      </c>
      <c r="C57" s="99">
        <v>16.86935189428845</v>
      </c>
      <c r="D57" s="99">
        <v>20.984120980716188</v>
      </c>
      <c r="E57" s="99">
        <v>0.82189043600443012</v>
      </c>
      <c r="F57" s="99">
        <v>2.0000000000000018E-2</v>
      </c>
      <c r="G57" s="99">
        <v>0.57419508879822378</v>
      </c>
      <c r="H57" s="99">
        <v>11.71826711833109</v>
      </c>
      <c r="I57" s="99">
        <v>0.15275252316519461</v>
      </c>
      <c r="J57" s="99">
        <v>1.515997764315153</v>
      </c>
      <c r="K57" s="99">
        <v>8.6628443675151587E-2</v>
      </c>
      <c r="L57" s="99">
        <v>1.6714408704268595</v>
      </c>
      <c r="M57" s="99">
        <v>14.032670213944778</v>
      </c>
      <c r="N57" s="99">
        <v>1.6138913852239178</v>
      </c>
      <c r="O57" s="99">
        <v>1.3555061847339134</v>
      </c>
      <c r="P57" s="99">
        <v>5.3000291823095944E-2</v>
      </c>
      <c r="Q57" s="99">
        <v>2.5358793372976831</v>
      </c>
      <c r="R57" s="99">
        <v>1</v>
      </c>
      <c r="S57" s="99">
        <v>1.442220510185596</v>
      </c>
      <c r="T57" s="99">
        <v>6.6090846567433221</v>
      </c>
      <c r="U57" s="99">
        <v>0.1187012765584852</v>
      </c>
      <c r="V57" s="99">
        <v>0.32979464355006605</v>
      </c>
      <c r="W57" s="99">
        <v>11.341927286582898</v>
      </c>
      <c r="X57" s="99">
        <v>12.440303924608681</v>
      </c>
      <c r="Y57" s="99">
        <v>2.999836244199239E-3</v>
      </c>
      <c r="Z57" s="99">
        <v>2.0323026044649377</v>
      </c>
      <c r="AA57" s="99">
        <v>0.15691750113138286</v>
      </c>
    </row>
    <row r="58" spans="1:27" x14ac:dyDescent="0.3">
      <c r="A58" t="s">
        <v>63</v>
      </c>
      <c r="B58" t="s">
        <v>82</v>
      </c>
      <c r="C58" s="99">
        <v>17.748495710904628</v>
      </c>
      <c r="D58" s="99">
        <v>21.656407827707714</v>
      </c>
      <c r="E58" s="99">
        <v>2.0410962135248827</v>
      </c>
      <c r="F58" s="99">
        <v>5.7735026918961348E-3</v>
      </c>
      <c r="G58" s="99">
        <v>0.92958772223676167</v>
      </c>
      <c r="H58" s="99">
        <v>18.971178004831902</v>
      </c>
      <c r="I58" s="99">
        <v>0</v>
      </c>
      <c r="J58" s="99">
        <v>0</v>
      </c>
      <c r="K58" s="99">
        <v>0</v>
      </c>
      <c r="L58" s="99">
        <v>0.96382484577506777</v>
      </c>
      <c r="M58" s="99">
        <v>23.007734206856021</v>
      </c>
      <c r="N58" s="99">
        <v>0.88855773920437664</v>
      </c>
      <c r="O58" s="99">
        <v>1.1928732379942506</v>
      </c>
      <c r="P58" s="99">
        <v>4.6641343605575245E-2</v>
      </c>
      <c r="Q58" s="99">
        <v>2.3891236182611704</v>
      </c>
      <c r="R58" s="99">
        <v>1</v>
      </c>
      <c r="S58" s="99">
        <v>1.4047538337136989</v>
      </c>
      <c r="T58" s="99">
        <v>25.260245446155146</v>
      </c>
      <c r="U58" s="99">
        <v>0.11561759948260887</v>
      </c>
      <c r="V58" s="99">
        <v>1.2604912897282965</v>
      </c>
      <c r="W58" s="99">
        <v>19.880435052604426</v>
      </c>
      <c r="X58" s="99">
        <v>22.156105302810673</v>
      </c>
      <c r="Y58" s="99">
        <v>9.4157813326274809E-3</v>
      </c>
      <c r="Z58" s="99">
        <v>5.173034397259209</v>
      </c>
      <c r="AA58" s="99">
        <v>9.7402601192302554E-2</v>
      </c>
    </row>
    <row r="59" spans="1:27" x14ac:dyDescent="0.3">
      <c r="A59" t="s">
        <v>64</v>
      </c>
      <c r="B59" t="s">
        <v>82</v>
      </c>
      <c r="C59" s="99">
        <v>17.359530523605756</v>
      </c>
      <c r="D59" s="99">
        <v>20.744477176668816</v>
      </c>
      <c r="E59" s="99">
        <v>1.7297573476766439</v>
      </c>
      <c r="F59" s="99">
        <v>5.0000000000000044E-2</v>
      </c>
      <c r="G59" s="99">
        <v>1.4052401929919323</v>
      </c>
      <c r="H59" s="99">
        <v>28.678371285549634</v>
      </c>
      <c r="I59" s="99">
        <v>0.26457513110645914</v>
      </c>
      <c r="J59" s="99">
        <v>2.7186820195835129</v>
      </c>
      <c r="K59" s="99">
        <v>0.15535325826191515</v>
      </c>
      <c r="L59" s="99">
        <v>4.9402064369821606</v>
      </c>
      <c r="M59" s="99">
        <v>29.903567234250538</v>
      </c>
      <c r="N59" s="99">
        <v>3.4791450433882938</v>
      </c>
      <c r="O59" s="99">
        <v>2.4116636133943463</v>
      </c>
      <c r="P59" s="99">
        <v>9.4296047283718931E-2</v>
      </c>
      <c r="Q59" s="99">
        <v>1.5060793350064059</v>
      </c>
      <c r="R59" s="99">
        <v>1</v>
      </c>
      <c r="S59" s="99">
        <v>1.6165807537309518</v>
      </c>
      <c r="T59" s="99">
        <v>3.6295086903509843</v>
      </c>
      <c r="U59" s="99">
        <v>0.13305191388732104</v>
      </c>
      <c r="V59" s="99">
        <v>0.18111320810134715</v>
      </c>
      <c r="W59" s="99">
        <v>26.460713859870591</v>
      </c>
      <c r="X59" s="99">
        <v>33.378257537399008</v>
      </c>
      <c r="Y59" s="99">
        <v>1.5122851028830273E-2</v>
      </c>
      <c r="Z59" s="99">
        <v>7.1856451752254182</v>
      </c>
      <c r="AA59" s="99">
        <v>0.17186750310688029</v>
      </c>
    </row>
    <row r="60" spans="1:27" x14ac:dyDescent="0.3">
      <c r="A60" t="s">
        <v>65</v>
      </c>
      <c r="B60" t="s">
        <v>82</v>
      </c>
      <c r="C60" s="99">
        <v>17.522877427332908</v>
      </c>
      <c r="D60" s="99">
        <v>7.0237691685684922</v>
      </c>
      <c r="E60" s="99">
        <v>7.0816171292431829</v>
      </c>
      <c r="F60" s="99">
        <v>1.1547005383792526E-2</v>
      </c>
      <c r="G60" s="99">
        <v>0.66214298556530249</v>
      </c>
      <c r="H60" s="99">
        <v>13.513122154393935</v>
      </c>
      <c r="I60" s="99">
        <v>0.25166114784235827</v>
      </c>
      <c r="J60" s="99">
        <v>2.6540239715930873</v>
      </c>
      <c r="K60" s="99">
        <v>0.15165851266246211</v>
      </c>
      <c r="L60" s="99">
        <v>2.7320292830299846</v>
      </c>
      <c r="M60" s="99">
        <v>18.205035933316175</v>
      </c>
      <c r="N60" s="99">
        <v>3.1645934590296556</v>
      </c>
      <c r="O60" s="99">
        <v>2.5126603292297713</v>
      </c>
      <c r="P60" s="99">
        <v>9.8245018872883935E-2</v>
      </c>
      <c r="Q60" s="99">
        <v>4.2954527107162983</v>
      </c>
      <c r="R60" s="99">
        <v>1</v>
      </c>
      <c r="S60" s="99">
        <v>1.8036999011291583</v>
      </c>
      <c r="T60" s="99">
        <v>6.885734044626858</v>
      </c>
      <c r="U60" s="99">
        <v>0.14845266675960145</v>
      </c>
      <c r="V60" s="99">
        <v>0.34359950322489313</v>
      </c>
      <c r="W60" s="99">
        <v>12.572273501564592</v>
      </c>
      <c r="X60" s="99">
        <v>15.360410945921977</v>
      </c>
      <c r="Y60" s="99">
        <v>1.3102166419890532E-2</v>
      </c>
      <c r="Z60" s="99">
        <v>3.9801101538513461</v>
      </c>
      <c r="AA60" s="99">
        <v>8.3391833425234346E-2</v>
      </c>
    </row>
    <row r="61" spans="1:27" x14ac:dyDescent="0.3">
      <c r="A61" t="s">
        <v>66</v>
      </c>
      <c r="B61" t="s">
        <v>82</v>
      </c>
      <c r="C61" s="99">
        <v>4.1179404237231765</v>
      </c>
      <c r="D61" s="99">
        <v>5.5677643628300215</v>
      </c>
      <c r="E61" s="99">
        <v>4.1545287254270571</v>
      </c>
      <c r="F61" s="99">
        <v>2.8867513459481187E-2</v>
      </c>
      <c r="G61" s="99">
        <v>0.38991452054691861</v>
      </c>
      <c r="H61" s="99">
        <v>7.9574391948350645</v>
      </c>
      <c r="I61" s="99">
        <v>0.26457513110645914</v>
      </c>
      <c r="J61" s="99">
        <v>2.8240755178734447</v>
      </c>
      <c r="K61" s="99">
        <v>0.16137574387848244</v>
      </c>
      <c r="L61" s="99">
        <v>3.4139852386909939</v>
      </c>
      <c r="M61" s="99">
        <v>10.049594977410784</v>
      </c>
      <c r="N61" s="99">
        <v>1.8165124363162588</v>
      </c>
      <c r="O61" s="99">
        <v>2.3419139651633389</v>
      </c>
      <c r="P61" s="99">
        <v>9.1568836037886514E-2</v>
      </c>
      <c r="Q61" s="99">
        <v>2.4656556132869296</v>
      </c>
      <c r="R61" s="99">
        <v>1</v>
      </c>
      <c r="S61" s="99">
        <v>1.6000000000000014</v>
      </c>
      <c r="T61" s="99">
        <v>2.0526405757787543</v>
      </c>
      <c r="U61" s="99">
        <v>0.13168724279835353</v>
      </c>
      <c r="V61" s="99">
        <v>0.10242717444005757</v>
      </c>
      <c r="W61" s="99">
        <v>7.7792312203006642</v>
      </c>
      <c r="X61" s="99">
        <v>8.3060141109135799</v>
      </c>
      <c r="Y61" s="99">
        <v>3.5324591572590941E-3</v>
      </c>
      <c r="Z61" s="99">
        <v>0.54834064773444913</v>
      </c>
      <c r="AA61" s="99">
        <v>9.4492763109778138E-2</v>
      </c>
    </row>
    <row r="62" spans="1:27" x14ac:dyDescent="0.3">
      <c r="A62" t="s">
        <v>67</v>
      </c>
      <c r="B62" t="s">
        <v>82</v>
      </c>
      <c r="C62" s="99">
        <v>6.744288942011111</v>
      </c>
      <c r="D62" s="99">
        <v>5.6862407030773268</v>
      </c>
      <c r="E62" s="99">
        <v>6.4960644222830801</v>
      </c>
      <c r="F62" s="99">
        <v>2.6457513110645845E-2</v>
      </c>
      <c r="G62" s="99">
        <v>0.33080709383768225</v>
      </c>
      <c r="H62" s="99">
        <v>6.7511651803608661</v>
      </c>
      <c r="I62" s="99">
        <v>0.36055512754639962</v>
      </c>
      <c r="J62" s="99">
        <v>3.8975419379168832</v>
      </c>
      <c r="K62" s="99">
        <v>0.22271668216667834</v>
      </c>
      <c r="L62" s="99">
        <v>5.019642541390108</v>
      </c>
      <c r="M62" s="99">
        <v>6.0431554241141283</v>
      </c>
      <c r="N62" s="99">
        <v>1.664035696385989</v>
      </c>
      <c r="O62" s="99">
        <v>1.9420347936774625</v>
      </c>
      <c r="P62" s="99">
        <v>7.5933560432788816E-2</v>
      </c>
      <c r="Q62" s="99">
        <v>2.0636620467831812</v>
      </c>
      <c r="R62" s="99">
        <v>1</v>
      </c>
      <c r="S62" s="99">
        <v>2.8936712552280919</v>
      </c>
      <c r="T62" s="99">
        <v>2.9484459183327951</v>
      </c>
      <c r="U62" s="99">
        <v>0.23816224322865015</v>
      </c>
      <c r="V62" s="99">
        <v>0.14712803983696562</v>
      </c>
      <c r="W62" s="99">
        <v>4.5020576797581695</v>
      </c>
      <c r="X62" s="99">
        <v>4.382183802306657</v>
      </c>
      <c r="Y62" s="99">
        <v>1.5950463560699057E-3</v>
      </c>
      <c r="Z62" s="99">
        <v>0.29692270001927407</v>
      </c>
      <c r="AA62" s="99">
        <v>4.5232214997868295E-2</v>
      </c>
    </row>
    <row r="63" spans="1:27" x14ac:dyDescent="0.3">
      <c r="A63" t="s">
        <v>68</v>
      </c>
      <c r="B63" t="s">
        <v>82</v>
      </c>
      <c r="C63" s="99">
        <v>23.463257091319043</v>
      </c>
      <c r="D63" s="99">
        <v>20.792626898334259</v>
      </c>
      <c r="E63" s="99">
        <v>3.1637350043716914</v>
      </c>
      <c r="F63" s="99">
        <v>4.5825756949558344E-2</v>
      </c>
      <c r="G63" s="99">
        <v>0.43247350593225137</v>
      </c>
      <c r="H63" s="99">
        <v>8.8259899169847085</v>
      </c>
      <c r="I63" s="99">
        <v>0.26457513110645881</v>
      </c>
      <c r="J63" s="99">
        <v>2.8809880071077894</v>
      </c>
      <c r="K63" s="99">
        <v>0.16462788612044463</v>
      </c>
      <c r="L63" s="99">
        <v>3.1962653691456779</v>
      </c>
      <c r="M63" s="99">
        <v>7.1228962796042428</v>
      </c>
      <c r="N63" s="99">
        <v>1.7185025884363916</v>
      </c>
      <c r="O63" s="99">
        <v>2.7110123694678254</v>
      </c>
      <c r="P63" s="99">
        <v>0.106000583646192</v>
      </c>
      <c r="Q63" s="99">
        <v>1.4162839204528608</v>
      </c>
      <c r="R63" s="99">
        <v>1</v>
      </c>
      <c r="S63" s="99">
        <v>2.1166010488516718</v>
      </c>
      <c r="T63" s="99">
        <v>3.4486712417006822</v>
      </c>
      <c r="U63" s="99">
        <v>0.17420584764211333</v>
      </c>
      <c r="V63" s="99">
        <v>0.17208938331839746</v>
      </c>
      <c r="W63" s="99">
        <v>6.5339365864881085</v>
      </c>
      <c r="X63" s="99">
        <v>8.4474046323794969</v>
      </c>
      <c r="Y63" s="99">
        <v>1.7525397316403436E-2</v>
      </c>
      <c r="Z63" s="99">
        <v>2.5965172068888345</v>
      </c>
      <c r="AA63" s="99">
        <v>0.10332396854246702</v>
      </c>
    </row>
    <row r="64" spans="1:27" x14ac:dyDescent="0.3">
      <c r="A64" t="s">
        <v>69</v>
      </c>
      <c r="B64" t="s">
        <v>82</v>
      </c>
      <c r="C64" s="99">
        <v>19.890031003830376</v>
      </c>
      <c r="D64" s="99">
        <v>20.792626898334259</v>
      </c>
      <c r="E64" s="99">
        <v>5.9348416150298267</v>
      </c>
      <c r="F64" s="99">
        <v>5.2915026221291864E-2</v>
      </c>
      <c r="G64" s="99">
        <v>0.25514701644346138</v>
      </c>
      <c r="H64" s="99">
        <v>5.2070819682339033</v>
      </c>
      <c r="I64" s="99">
        <v>0.39999999999999858</v>
      </c>
      <c r="J64" s="99">
        <v>4.3950255404834069</v>
      </c>
      <c r="K64" s="99">
        <v>0.25114431659905212</v>
      </c>
      <c r="L64" s="99">
        <v>5.0302683079533725</v>
      </c>
      <c r="M64" s="99">
        <v>6.0284709512446017</v>
      </c>
      <c r="N64" s="99">
        <v>1.1953798131742248</v>
      </c>
      <c r="O64" s="99">
        <v>3.0127172059363616</v>
      </c>
      <c r="P64" s="99">
        <v>0.11779724275211195</v>
      </c>
      <c r="Q64" s="99">
        <v>1.4471815550694855</v>
      </c>
      <c r="R64" s="99">
        <v>1</v>
      </c>
      <c r="S64" s="99">
        <v>2.2744962812309306</v>
      </c>
      <c r="T64" s="99">
        <v>3.4019602192461513</v>
      </c>
      <c r="U64" s="99">
        <v>0.18720134001900615</v>
      </c>
      <c r="V64" s="99">
        <v>0.16975849397435874</v>
      </c>
      <c r="W64" s="99">
        <v>2.9978176778478565</v>
      </c>
      <c r="X64" s="99">
        <v>5.4887050274056941</v>
      </c>
      <c r="Y64" s="99">
        <v>2.0727889457249675E-2</v>
      </c>
      <c r="Z64" s="99">
        <v>2.8726567306237487</v>
      </c>
      <c r="AA64" s="99">
        <v>8.6335552656620504E-2</v>
      </c>
    </row>
    <row r="65" spans="1:27" x14ac:dyDescent="0.3">
      <c r="A65" t="s">
        <v>70</v>
      </c>
      <c r="B65" t="s">
        <v>82</v>
      </c>
      <c r="C65" s="99">
        <v>25.587032523005352</v>
      </c>
      <c r="D65" s="99">
        <v>22.810816147900884</v>
      </c>
      <c r="E65" s="99">
        <v>4.3727406669834581</v>
      </c>
      <c r="F65" s="99">
        <v>2.6457513110645845E-2</v>
      </c>
      <c r="G65" s="99">
        <v>1.0000000000000231E-2</v>
      </c>
      <c r="H65" s="99">
        <v>0.20408163265307167</v>
      </c>
      <c r="I65" s="99">
        <v>0.30550504633038827</v>
      </c>
      <c r="J65" s="99">
        <v>3.3838767633254019</v>
      </c>
      <c r="K65" s="99">
        <v>0.19336438647573673</v>
      </c>
      <c r="L65" s="99">
        <v>3.7641583016658671</v>
      </c>
      <c r="M65" s="99">
        <v>2.1859235172652647</v>
      </c>
      <c r="N65" s="99">
        <v>3.3938785825937479</v>
      </c>
      <c r="O65" s="99">
        <v>2.8086248697209895</v>
      </c>
      <c r="P65" s="99">
        <v>0.10981723240609065</v>
      </c>
      <c r="Q65" s="99">
        <v>3.5087739667866882</v>
      </c>
      <c r="R65" s="99">
        <v>1</v>
      </c>
      <c r="S65" s="99">
        <v>2.0132891827388666</v>
      </c>
      <c r="T65" s="99">
        <v>0.69282032302754837</v>
      </c>
      <c r="U65" s="99">
        <v>0.16570281339414508</v>
      </c>
      <c r="V65" s="99">
        <v>3.4571872406564563E-2</v>
      </c>
      <c r="W65" s="99">
        <v>3.0086592377150576</v>
      </c>
      <c r="X65" s="99">
        <v>2.152414898585131</v>
      </c>
      <c r="Y65" s="99">
        <v>6.8486516934622762E-3</v>
      </c>
      <c r="Z65" s="99">
        <v>1.0623937426385461</v>
      </c>
      <c r="AA65" s="99">
        <v>5.2418073776434787E-2</v>
      </c>
    </row>
    <row r="66" spans="1:27" x14ac:dyDescent="0.3">
      <c r="A66" t="s">
        <v>71</v>
      </c>
      <c r="B66" t="s">
        <v>82</v>
      </c>
      <c r="C66" s="99">
        <v>9.8706095725306326</v>
      </c>
      <c r="D66" s="99">
        <v>9.2915732431775684</v>
      </c>
      <c r="E66" s="99">
        <v>2.5901932977973354</v>
      </c>
      <c r="F66" s="99">
        <v>4.3588989435406567E-2</v>
      </c>
      <c r="G66" s="99">
        <v>0.11930353445448834</v>
      </c>
      <c r="H66" s="99">
        <v>2.4347660092752665</v>
      </c>
      <c r="I66" s="99">
        <v>0.58594652770823052</v>
      </c>
      <c r="J66" s="99">
        <v>6.5025726412450178</v>
      </c>
      <c r="K66" s="99">
        <v>0.37157557949971481</v>
      </c>
      <c r="L66" s="99">
        <v>6.9729040867728393</v>
      </c>
      <c r="M66" s="99">
        <v>2.3168888212428342</v>
      </c>
      <c r="N66" s="99">
        <v>1.1581527363711137</v>
      </c>
      <c r="O66" s="99">
        <v>3.7000918945103534</v>
      </c>
      <c r="P66" s="99">
        <v>0.14467359307535485</v>
      </c>
      <c r="Q66" s="99">
        <v>1.0177574612843665</v>
      </c>
      <c r="R66" s="99">
        <v>1</v>
      </c>
      <c r="S66" s="99">
        <v>1.8903262505010434</v>
      </c>
      <c r="T66" s="99">
        <v>2.6229754097208016</v>
      </c>
      <c r="U66" s="99">
        <v>0.15558240744864593</v>
      </c>
      <c r="V66" s="99">
        <v>0.13088699649305377</v>
      </c>
      <c r="W66" s="99">
        <v>3.4002103113968443</v>
      </c>
      <c r="X66" s="99">
        <v>3.4174941701790744</v>
      </c>
      <c r="Y66" s="99">
        <v>8.9963001292832287E-3</v>
      </c>
      <c r="Z66" s="99">
        <v>1.0349983301303409</v>
      </c>
      <c r="AA66" s="99">
        <v>6.3289776792004274E-2</v>
      </c>
    </row>
    <row r="67" spans="1:27" x14ac:dyDescent="0.3">
      <c r="A67" t="s">
        <v>72</v>
      </c>
      <c r="B67" t="s">
        <v>82</v>
      </c>
      <c r="C67" s="99">
        <v>23.680026041652347</v>
      </c>
      <c r="D67" s="99">
        <v>10.969655114602888</v>
      </c>
      <c r="E67" s="99">
        <v>5.4977556853047505</v>
      </c>
      <c r="F67" s="99">
        <v>2.8867513459481187E-2</v>
      </c>
      <c r="G67" s="99">
        <v>4.5825756949558302E-2</v>
      </c>
      <c r="H67" s="99">
        <v>0.93521952958282895</v>
      </c>
      <c r="I67" s="99">
        <v>0.55075705472861092</v>
      </c>
      <c r="J67" s="99">
        <v>6.1374053788075544</v>
      </c>
      <c r="K67" s="99">
        <v>0.35070887878900336</v>
      </c>
      <c r="L67" s="99">
        <v>4.7343298395865876</v>
      </c>
      <c r="M67" s="99">
        <v>2.538042868694959</v>
      </c>
      <c r="N67" s="99">
        <v>2.6917591945617194</v>
      </c>
      <c r="O67" s="99">
        <v>2.9989289541366659</v>
      </c>
      <c r="P67" s="99">
        <v>0.1172581221067437</v>
      </c>
      <c r="Q67" s="99">
        <v>2.7832140778842906</v>
      </c>
      <c r="R67" s="99">
        <v>1</v>
      </c>
      <c r="S67" s="99">
        <v>3.2083225108042566</v>
      </c>
      <c r="T67" s="99">
        <v>2</v>
      </c>
      <c r="U67" s="99">
        <v>0.26405946590981511</v>
      </c>
      <c r="V67" s="99">
        <v>9.9800399201597001E-2</v>
      </c>
      <c r="W67" s="99">
        <v>3.6404559950309316</v>
      </c>
      <c r="X67" s="99">
        <v>2.5593018672655443</v>
      </c>
      <c r="Y67" s="99">
        <v>6.3423296870334786E-3</v>
      </c>
      <c r="Z67" s="99">
        <v>1.0994232673337723</v>
      </c>
      <c r="AA67" s="99">
        <v>6.3706110523050669E-2</v>
      </c>
    </row>
    <row r="68" spans="1:27" x14ac:dyDescent="0.3">
      <c r="A68" t="s">
        <v>73</v>
      </c>
      <c r="B68" t="s">
        <v>82</v>
      </c>
      <c r="C68" s="99">
        <v>36.931169762139945</v>
      </c>
      <c r="D68" s="99">
        <v>16.093476939431081</v>
      </c>
      <c r="E68" s="99">
        <v>6.6770651800379728</v>
      </c>
      <c r="F68" s="99">
        <v>0.1106044001535805</v>
      </c>
      <c r="G68" s="99">
        <v>0.32593455375785707</v>
      </c>
      <c r="H68" s="99">
        <v>6.6517255868950445</v>
      </c>
      <c r="I68" s="99">
        <v>0.45092497528228875</v>
      </c>
      <c r="J68" s="99">
        <v>5.0464710194922553</v>
      </c>
      <c r="K68" s="99">
        <v>0.28836977254241442</v>
      </c>
      <c r="L68" s="99">
        <v>5.6447615833915714</v>
      </c>
      <c r="M68" s="99">
        <v>1.9566382735021148</v>
      </c>
      <c r="N68" s="99">
        <v>0.71266633102549282</v>
      </c>
      <c r="O68" s="99">
        <v>4.1837332865716874</v>
      </c>
      <c r="P68" s="99">
        <v>0.16358397150495307</v>
      </c>
      <c r="Q68" s="99">
        <v>0.81205500634706851</v>
      </c>
      <c r="R68" s="99">
        <v>1</v>
      </c>
      <c r="S68" s="99">
        <v>4.6130250378683169</v>
      </c>
      <c r="T68" s="99">
        <v>4.5431266766402176</v>
      </c>
      <c r="U68" s="99">
        <v>0.37967284262290718</v>
      </c>
      <c r="V68" s="99">
        <v>0.22670292797605884</v>
      </c>
      <c r="W68" s="99">
        <v>2.585611972529926</v>
      </c>
      <c r="X68" s="99">
        <v>1.5167875722649355</v>
      </c>
      <c r="Y68" s="99">
        <v>2.5205570170502845E-2</v>
      </c>
      <c r="Z68" s="99">
        <v>2.9684533908551756</v>
      </c>
      <c r="AA68" s="99">
        <v>7.7932035167266128E-2</v>
      </c>
    </row>
    <row r="69" spans="1:27" x14ac:dyDescent="0.3">
      <c r="A69" t="s">
        <v>61</v>
      </c>
      <c r="B69" t="s">
        <v>78</v>
      </c>
      <c r="C69" s="99">
        <v>6.0865343176556594</v>
      </c>
      <c r="D69" s="99">
        <v>12.124355652982141</v>
      </c>
      <c r="E69" s="99">
        <v>1.8178968758194631</v>
      </c>
      <c r="F69" s="99">
        <v>0</v>
      </c>
      <c r="G69" s="99">
        <v>0.59534303836807689</v>
      </c>
      <c r="H69" s="99">
        <v>12.149857925879127</v>
      </c>
      <c r="I69" s="99">
        <v>0.15275252316519461</v>
      </c>
      <c r="J69" s="99">
        <v>1.5099128678260385</v>
      </c>
      <c r="K69" s="99">
        <v>8.6280735304345046E-2</v>
      </c>
      <c r="L69" s="99">
        <v>0.85571729171107003</v>
      </c>
      <c r="M69" s="99">
        <v>14.759855464513661</v>
      </c>
      <c r="N69" s="99">
        <v>2.0609075182550103</v>
      </c>
      <c r="O69" s="99">
        <v>1.1928732379942526</v>
      </c>
      <c r="P69" s="99">
        <v>4.6641343605575224E-2</v>
      </c>
      <c r="Q69" s="99">
        <v>1.4334568787840554</v>
      </c>
      <c r="R69" s="99">
        <v>1</v>
      </c>
      <c r="S69" s="99">
        <v>0.39999999999999858</v>
      </c>
      <c r="T69" s="99">
        <v>3.0287511177601516</v>
      </c>
      <c r="U69" s="99">
        <v>3.292181069958855E-2</v>
      </c>
      <c r="V69" s="99">
        <v>0.15113528531737278</v>
      </c>
      <c r="W69" s="99">
        <v>13.440808108819606</v>
      </c>
      <c r="X69" s="99">
        <v>16.420795386708082</v>
      </c>
      <c r="Y69" s="99">
        <v>6.1159261925526811E-3</v>
      </c>
      <c r="Z69" s="99">
        <v>4.5481632946365673</v>
      </c>
      <c r="AA69" s="99">
        <v>0.11660004496109297</v>
      </c>
    </row>
    <row r="70" spans="1:27" x14ac:dyDescent="0.3">
      <c r="A70" t="s">
        <v>62</v>
      </c>
      <c r="B70" t="s">
        <v>78</v>
      </c>
      <c r="C70" s="99">
        <v>11.101001456325159</v>
      </c>
      <c r="D70" s="99">
        <v>10.785793124908958</v>
      </c>
      <c r="E70" s="99">
        <v>1.7487117457982457</v>
      </c>
      <c r="F70" s="99">
        <v>1.1547005383792526E-2</v>
      </c>
      <c r="G70" s="99">
        <v>0.25967928938083162</v>
      </c>
      <c r="H70" s="99">
        <v>5.2995773343026888</v>
      </c>
      <c r="I70" s="99">
        <v>0.28867513459481287</v>
      </c>
      <c r="J70" s="99">
        <v>2.8648020764267779</v>
      </c>
      <c r="K70" s="99">
        <v>0.1637029757958158</v>
      </c>
      <c r="L70" s="99">
        <v>2.7740092075069516</v>
      </c>
      <c r="M70" s="99">
        <v>8.5400526930458813</v>
      </c>
      <c r="N70" s="99">
        <v>4.4285472873882057</v>
      </c>
      <c r="O70" s="99">
        <v>1.615870621693666</v>
      </c>
      <c r="P70" s="99">
        <v>6.3180541308222288E-2</v>
      </c>
      <c r="Q70" s="99">
        <v>4.748940762247237</v>
      </c>
      <c r="R70" s="99">
        <v>1</v>
      </c>
      <c r="S70" s="99">
        <v>0.83266639978645407</v>
      </c>
      <c r="T70" s="99">
        <v>0.61101009266077344</v>
      </c>
      <c r="U70" s="99">
        <v>6.853221397419354E-2</v>
      </c>
      <c r="V70" s="99">
        <v>3.0489525581874875E-2</v>
      </c>
      <c r="W70" s="99">
        <v>5.4675406147060253</v>
      </c>
      <c r="X70" s="99">
        <v>7.277062187217723</v>
      </c>
      <c r="Y70" s="99">
        <v>2.3356535344030553E-3</v>
      </c>
      <c r="Z70" s="99">
        <v>1.812327623567916</v>
      </c>
      <c r="AA70" s="99">
        <v>8.6888584820153394E-2</v>
      </c>
    </row>
    <row r="71" spans="1:27" x14ac:dyDescent="0.3">
      <c r="A71" t="s">
        <v>63</v>
      </c>
      <c r="B71" t="s">
        <v>78</v>
      </c>
      <c r="C71" s="99">
        <v>9.5799495475358967</v>
      </c>
      <c r="D71" s="99">
        <v>11.372481406154654</v>
      </c>
      <c r="E71" s="99">
        <v>2.9840940189503669</v>
      </c>
      <c r="F71" s="99">
        <v>5.0332229568471713E-2</v>
      </c>
      <c r="G71" s="99">
        <v>1.2617580327992108</v>
      </c>
      <c r="H71" s="99">
        <v>25.750163934677751</v>
      </c>
      <c r="I71" s="99">
        <v>0.75498344352707492</v>
      </c>
      <c r="J71" s="99">
        <v>7.5812393875104576</v>
      </c>
      <c r="K71" s="99">
        <v>0.43321367928630966</v>
      </c>
      <c r="L71" s="99">
        <v>8.9308919627325096</v>
      </c>
      <c r="M71" s="99">
        <v>28.965597410261253</v>
      </c>
      <c r="N71" s="99">
        <v>2.8538551007774138</v>
      </c>
      <c r="O71" s="99">
        <v>3.3161351104535406</v>
      </c>
      <c r="P71" s="99">
        <v>0.12966088281873345</v>
      </c>
      <c r="Q71" s="99">
        <v>3.9724779235803602</v>
      </c>
      <c r="R71" s="99">
        <v>1</v>
      </c>
      <c r="S71" s="99">
        <v>1.5143755588800738</v>
      </c>
      <c r="T71" s="99">
        <v>1.6000000000000014</v>
      </c>
      <c r="U71" s="99">
        <v>0.12463996369383311</v>
      </c>
      <c r="V71" s="99">
        <v>7.9840319361277334E-2</v>
      </c>
      <c r="W71" s="99">
        <v>22.353511775210663</v>
      </c>
      <c r="X71" s="99">
        <v>28.059645185501424</v>
      </c>
      <c r="Y71" s="99">
        <v>8.60762780205644E-3</v>
      </c>
      <c r="Z71" s="99">
        <v>5.9445869397723161</v>
      </c>
      <c r="AA71" s="99">
        <v>0.23700111467443091</v>
      </c>
    </row>
    <row r="72" spans="1:27" x14ac:dyDescent="0.3">
      <c r="A72" t="s">
        <v>64</v>
      </c>
      <c r="B72" t="s">
        <v>78</v>
      </c>
      <c r="C72" s="99">
        <v>6.2861143270969304</v>
      </c>
      <c r="D72" s="99">
        <v>3.6055512754639891</v>
      </c>
      <c r="E72" s="99">
        <v>5.6180689473156509</v>
      </c>
      <c r="F72" s="99">
        <v>4.6188021535170098E-2</v>
      </c>
      <c r="G72" s="99">
        <v>1.4205984654363109</v>
      </c>
      <c r="H72" s="99">
        <v>28.991805417067564</v>
      </c>
      <c r="I72" s="99">
        <v>0.75055534994651352</v>
      </c>
      <c r="J72" s="99">
        <v>7.6931674592717059</v>
      </c>
      <c r="K72" s="99">
        <v>0.43960956910124038</v>
      </c>
      <c r="L72" s="99">
        <v>9.249160313779937</v>
      </c>
      <c r="M72" s="99">
        <v>36.53797111681709</v>
      </c>
      <c r="N72" s="99">
        <v>4.1283321589878605</v>
      </c>
      <c r="O72" s="99">
        <v>2.5016398360731018</v>
      </c>
      <c r="P72" s="99">
        <v>9.7814117590458341E-2</v>
      </c>
      <c r="Q72" s="99">
        <v>6.136258626394425</v>
      </c>
      <c r="R72" s="99">
        <v>1</v>
      </c>
      <c r="S72" s="99">
        <v>1.6653327995729061</v>
      </c>
      <c r="T72" s="99">
        <v>7.8790862414368856</v>
      </c>
      <c r="U72" s="99">
        <v>0.13706442794838739</v>
      </c>
      <c r="V72" s="99">
        <v>0.39316797611960475</v>
      </c>
      <c r="W72" s="99">
        <v>26.5271394507092</v>
      </c>
      <c r="X72" s="99">
        <v>33.602194706322344</v>
      </c>
      <c r="Y72" s="99">
        <v>1.3859530840939518E-2</v>
      </c>
      <c r="Z72" s="99">
        <v>7.0869533295705498</v>
      </c>
      <c r="AA72" s="99">
        <v>7.5890047048995379E-2</v>
      </c>
    </row>
    <row r="73" spans="1:27" x14ac:dyDescent="0.3">
      <c r="A73" t="s">
        <v>65</v>
      </c>
      <c r="B73" t="s">
        <v>78</v>
      </c>
      <c r="C73" s="99">
        <v>25.445072214478238</v>
      </c>
      <c r="D73" s="99">
        <v>13.203534880225572</v>
      </c>
      <c r="E73" s="99">
        <v>10.186225661304597</v>
      </c>
      <c r="F73" s="99">
        <v>6.0277137733416919E-2</v>
      </c>
      <c r="G73" s="99">
        <v>1.7883045974702885</v>
      </c>
      <c r="H73" s="99">
        <v>36.496012193271113</v>
      </c>
      <c r="I73" s="99">
        <v>0.95393920141694633</v>
      </c>
      <c r="J73" s="99">
        <v>10.061333217466036</v>
      </c>
      <c r="K73" s="99">
        <v>0.57493332671234498</v>
      </c>
      <c r="L73" s="99">
        <v>12.465786546784765</v>
      </c>
      <c r="M73" s="99">
        <v>40.191634701763505</v>
      </c>
      <c r="N73" s="99">
        <v>6.8048944150295236</v>
      </c>
      <c r="O73" s="99">
        <v>3.5045040278279909</v>
      </c>
      <c r="P73" s="99">
        <v>0.13702610748807453</v>
      </c>
      <c r="Q73" s="99">
        <v>7.6776256726933427</v>
      </c>
      <c r="R73" s="99">
        <v>1</v>
      </c>
      <c r="S73" s="99">
        <v>2.0132891827388666</v>
      </c>
      <c r="T73" s="99">
        <v>6.213962772123228</v>
      </c>
      <c r="U73" s="99">
        <v>0.1657028133941453</v>
      </c>
      <c r="V73" s="99">
        <v>0.31007798264087943</v>
      </c>
      <c r="W73" s="99">
        <v>32.966515805027839</v>
      </c>
      <c r="X73" s="99">
        <v>39.720079430933687</v>
      </c>
      <c r="Y73" s="99">
        <v>2.0708782626667595E-2</v>
      </c>
      <c r="Z73" s="99">
        <v>6.7829160339678829</v>
      </c>
      <c r="AA73" s="99">
        <v>0.13447228383248155</v>
      </c>
    </row>
    <row r="74" spans="1:27" x14ac:dyDescent="0.3">
      <c r="A74" t="s">
        <v>66</v>
      </c>
      <c r="B74" t="s">
        <v>78</v>
      </c>
      <c r="C74" s="99">
        <v>27.541491123999393</v>
      </c>
      <c r="D74" s="99">
        <v>10.692676621563626</v>
      </c>
      <c r="E74" s="99">
        <v>9.8737292766752347</v>
      </c>
      <c r="F74" s="99">
        <v>6.0827625302982073E-2</v>
      </c>
      <c r="G74" s="99">
        <v>1.2480785231707223</v>
      </c>
      <c r="H74" s="99">
        <v>25.470990268790214</v>
      </c>
      <c r="I74" s="99">
        <v>0.642910050732864</v>
      </c>
      <c r="J74" s="99">
        <v>6.8505396771244857</v>
      </c>
      <c r="K74" s="99">
        <v>0.39145941012139912</v>
      </c>
      <c r="L74" s="99">
        <v>7.46130548653072</v>
      </c>
      <c r="M74" s="99">
        <v>23.055526917711781</v>
      </c>
      <c r="N74" s="99">
        <v>3.2766098149014691</v>
      </c>
      <c r="O74" s="99">
        <v>2.8501278772378495</v>
      </c>
      <c r="P74" s="99">
        <v>0.11144</v>
      </c>
      <c r="Q74" s="99">
        <v>4.476453916140918</v>
      </c>
      <c r="R74" s="99">
        <v>1</v>
      </c>
      <c r="S74" s="99">
        <v>1.4047538337137004</v>
      </c>
      <c r="T74" s="99">
        <v>3.8017539811688681</v>
      </c>
      <c r="U74" s="99">
        <v>0.11561759948260905</v>
      </c>
      <c r="V74" s="99">
        <v>0.18970828249345636</v>
      </c>
      <c r="W74" s="99">
        <v>22.533976571033634</v>
      </c>
      <c r="X74" s="99">
        <v>20.903634292139973</v>
      </c>
      <c r="Y74" s="99">
        <v>6.704031860710339E-3</v>
      </c>
      <c r="Z74" s="99">
        <v>1.8955221556075434</v>
      </c>
      <c r="AA74" s="99">
        <v>6.6923653643825382E-2</v>
      </c>
    </row>
    <row r="75" spans="1:27" x14ac:dyDescent="0.3">
      <c r="A75" t="s">
        <v>67</v>
      </c>
      <c r="B75" t="s">
        <v>78</v>
      </c>
      <c r="C75" s="99">
        <v>35.1559824212042</v>
      </c>
      <c r="D75" s="99">
        <v>13.613718571108091</v>
      </c>
      <c r="E75" s="99">
        <v>10.918113333367735</v>
      </c>
      <c r="F75" s="99">
        <v>7.3711147958320039E-2</v>
      </c>
      <c r="G75" s="99">
        <v>1.0709964207845675</v>
      </c>
      <c r="H75" s="99">
        <v>21.857069811929644</v>
      </c>
      <c r="I75" s="99">
        <v>0.75718777944003579</v>
      </c>
      <c r="J75" s="99">
        <v>8.170939240979763</v>
      </c>
      <c r="K75" s="99">
        <v>0.46691081377027183</v>
      </c>
      <c r="L75" s="99">
        <v>8.1677455120737008</v>
      </c>
      <c r="M75" s="99">
        <v>20.10688818547845</v>
      </c>
      <c r="N75" s="99">
        <v>3.2315318984643651</v>
      </c>
      <c r="O75" s="99">
        <v>3.8840695873549351</v>
      </c>
      <c r="P75" s="99">
        <v>0.15186712086557788</v>
      </c>
      <c r="Q75" s="99">
        <v>4.4036634298426289</v>
      </c>
      <c r="R75" s="99">
        <v>1</v>
      </c>
      <c r="S75" s="99">
        <v>2.0132891827388666</v>
      </c>
      <c r="T75" s="99">
        <v>3.3306655991458123</v>
      </c>
      <c r="U75" s="99">
        <v>0.1657028133941453</v>
      </c>
      <c r="V75" s="99">
        <v>0.16620087820088861</v>
      </c>
      <c r="W75" s="99">
        <v>17.711208700884562</v>
      </c>
      <c r="X75" s="99">
        <v>17.501583713450067</v>
      </c>
      <c r="Y75" s="99">
        <v>7.4172046580585037E-3</v>
      </c>
      <c r="Z75" s="99">
        <v>1.328831068800165</v>
      </c>
      <c r="AA75" s="99">
        <v>7.6222624577926848E-2</v>
      </c>
    </row>
    <row r="76" spans="1:27" x14ac:dyDescent="0.3">
      <c r="A76" t="s">
        <v>68</v>
      </c>
      <c r="B76" t="s">
        <v>78</v>
      </c>
      <c r="C76" s="99">
        <v>25.307588453531743</v>
      </c>
      <c r="D76" s="99">
        <v>7</v>
      </c>
      <c r="E76" s="99">
        <v>11.086384510059732</v>
      </c>
      <c r="F76" s="99">
        <v>8.5440037453175285E-2</v>
      </c>
      <c r="G76" s="99">
        <v>0.92613893846082063</v>
      </c>
      <c r="H76" s="99">
        <v>18.900794662465628</v>
      </c>
      <c r="I76" s="99">
        <v>0.66583281184793985</v>
      </c>
      <c r="J76" s="99">
        <v>7.2354546094364247</v>
      </c>
      <c r="K76" s="99">
        <v>0.4134545491106531</v>
      </c>
      <c r="L76" s="99">
        <v>6.4745045038211213</v>
      </c>
      <c r="M76" s="99">
        <v>16.21699796180949</v>
      </c>
      <c r="N76" s="99">
        <v>5.5678979678351901</v>
      </c>
      <c r="O76" s="99">
        <v>4.433820765299247</v>
      </c>
      <c r="P76" s="99">
        <v>0.17336239192320055</v>
      </c>
      <c r="Q76" s="99">
        <v>6.3826692569279571</v>
      </c>
      <c r="R76" s="99">
        <v>1</v>
      </c>
      <c r="S76" s="99">
        <v>1.2220201853215569</v>
      </c>
      <c r="T76" s="99">
        <v>0.83266639978645418</v>
      </c>
      <c r="U76" s="99">
        <v>0.10057779303058083</v>
      </c>
      <c r="V76" s="99">
        <v>4.1550219550221958E-2</v>
      </c>
      <c r="W76" s="99">
        <v>14.379644468600219</v>
      </c>
      <c r="X76" s="99">
        <v>12.81866765741669</v>
      </c>
      <c r="Y76" s="99">
        <v>1.122264182719537E-2</v>
      </c>
      <c r="Z76" s="99">
        <v>2.0761408463155697</v>
      </c>
      <c r="AA76" s="99">
        <v>9.1150467253809944E-2</v>
      </c>
    </row>
    <row r="77" spans="1:27" x14ac:dyDescent="0.3">
      <c r="A77" t="s">
        <v>69</v>
      </c>
      <c r="B77" t="s">
        <v>78</v>
      </c>
      <c r="C77" s="99">
        <v>38.136640299498531</v>
      </c>
      <c r="D77" s="99">
        <v>13.114877048604001</v>
      </c>
      <c r="E77" s="99">
        <v>12.639694741255628</v>
      </c>
      <c r="F77" s="99">
        <v>7.9372539331937705E-2</v>
      </c>
      <c r="G77" s="99">
        <v>0.56615663321499055</v>
      </c>
      <c r="H77" s="99">
        <v>11.554217004387558</v>
      </c>
      <c r="I77" s="99">
        <v>0.59999999999999964</v>
      </c>
      <c r="J77" s="99">
        <v>6.5829808066810633</v>
      </c>
      <c r="K77" s="99">
        <v>0.3761703318103462</v>
      </c>
      <c r="L77" s="99">
        <v>6.3967046088852086</v>
      </c>
      <c r="M77" s="99">
        <v>12.122509932490608</v>
      </c>
      <c r="N77" s="99">
        <v>6.350920056897924</v>
      </c>
      <c r="O77" s="99">
        <v>4.8132920574728217</v>
      </c>
      <c r="P77" s="99">
        <v>0.18819971944718739</v>
      </c>
      <c r="Q77" s="99">
        <v>7.0607492548595774</v>
      </c>
      <c r="R77" s="99">
        <v>1</v>
      </c>
      <c r="S77" s="99">
        <v>1.8330302779823364</v>
      </c>
      <c r="T77" s="99">
        <v>2</v>
      </c>
      <c r="U77" s="99">
        <v>0.15086668954587099</v>
      </c>
      <c r="V77" s="99">
        <v>9.9800399201597001E-2</v>
      </c>
      <c r="W77" s="99">
        <v>6.7074764818060384</v>
      </c>
      <c r="X77" s="99">
        <v>7.2946080760810448</v>
      </c>
      <c r="Y77" s="99">
        <v>8.4829276327083279E-3</v>
      </c>
      <c r="Z77" s="99">
        <v>0.99114298688097269</v>
      </c>
      <c r="AA77" s="99">
        <v>5.5809174612261633E-2</v>
      </c>
    </row>
    <row r="78" spans="1:27" x14ac:dyDescent="0.3">
      <c r="A78" t="s">
        <v>70</v>
      </c>
      <c r="B78" t="s">
        <v>78</v>
      </c>
      <c r="C78" s="99">
        <v>23.975423527715492</v>
      </c>
      <c r="D78" s="99">
        <v>4.5825756949558398</v>
      </c>
      <c r="E78" s="99">
        <v>10.863066902608972</v>
      </c>
      <c r="F78" s="99">
        <v>7.094598884597593E-2</v>
      </c>
      <c r="G78" s="99">
        <v>0.19672315572905982</v>
      </c>
      <c r="H78" s="99">
        <v>4.0147582801848873</v>
      </c>
      <c r="I78" s="99">
        <v>0.79999999999999893</v>
      </c>
      <c r="J78" s="99">
        <v>8.8601698263435296</v>
      </c>
      <c r="K78" s="99">
        <v>0.50629541864820182</v>
      </c>
      <c r="L78" s="99">
        <v>7.4124514327807507</v>
      </c>
      <c r="M78" s="99">
        <v>6.4194390575293649</v>
      </c>
      <c r="N78" s="99">
        <v>7.5844049041132378</v>
      </c>
      <c r="O78" s="99">
        <v>2.6465473145780045</v>
      </c>
      <c r="P78" s="99">
        <v>0.10348000000000013</v>
      </c>
      <c r="Q78" s="99">
        <v>7.966352755391469</v>
      </c>
      <c r="R78" s="99">
        <v>1</v>
      </c>
      <c r="S78" s="99">
        <v>0.61101009266077966</v>
      </c>
      <c r="T78" s="99">
        <v>1.6165807537309536</v>
      </c>
      <c r="U78" s="99">
        <v>5.0288896515290435E-2</v>
      </c>
      <c r="V78" s="99">
        <v>8.0667702281983653E-2</v>
      </c>
      <c r="W78" s="99">
        <v>1.5392760924714439</v>
      </c>
      <c r="X78" s="99">
        <v>3.4261808543462906</v>
      </c>
      <c r="Y78" s="99">
        <v>1.6469836581567754E-2</v>
      </c>
      <c r="Z78" s="99">
        <v>2.0570561021499678</v>
      </c>
      <c r="AA78" s="99">
        <v>7.6633882739768733E-2</v>
      </c>
    </row>
    <row r="79" spans="1:27" x14ac:dyDescent="0.3">
      <c r="A79" t="s">
        <v>71</v>
      </c>
      <c r="B79" t="s">
        <v>78</v>
      </c>
      <c r="C79" s="99">
        <v>34.185318973696262</v>
      </c>
      <c r="D79" s="99">
        <v>12.583057392117915</v>
      </c>
      <c r="E79" s="99">
        <v>9.5750158005682859</v>
      </c>
      <c r="F79" s="99">
        <v>8.660254037844381E-2</v>
      </c>
      <c r="G79" s="99">
        <v>0.24556058315617368</v>
      </c>
      <c r="H79" s="99">
        <v>5.0114404725749697</v>
      </c>
      <c r="I79" s="99">
        <v>0.6110100926607781</v>
      </c>
      <c r="J79" s="99">
        <v>6.7781876663161515</v>
      </c>
      <c r="K79" s="99">
        <v>0.38732500950378018</v>
      </c>
      <c r="L79" s="99">
        <v>7.2417885684408052</v>
      </c>
      <c r="M79" s="99">
        <v>5.9248675042850376</v>
      </c>
      <c r="N79" s="99">
        <v>3.771027475453324</v>
      </c>
      <c r="O79" s="99">
        <v>4.7190893660590332</v>
      </c>
      <c r="P79" s="99">
        <v>0.18451639421290819</v>
      </c>
      <c r="Q79" s="99">
        <v>4.1475234807452646</v>
      </c>
      <c r="R79" s="99">
        <v>1</v>
      </c>
      <c r="S79" s="99">
        <v>1.4422205101855945</v>
      </c>
      <c r="T79" s="99">
        <v>2.6025628394590861</v>
      </c>
      <c r="U79" s="99">
        <v>0.11870127655848538</v>
      </c>
      <c r="V79" s="99">
        <v>0.12986840516262885</v>
      </c>
      <c r="W79" s="99">
        <v>1.7899454345833035</v>
      </c>
      <c r="X79" s="99">
        <v>2.5717321131462789</v>
      </c>
      <c r="Y79" s="99">
        <v>1.5416787321765031E-2</v>
      </c>
      <c r="Z79" s="99">
        <v>1.7464744066371458</v>
      </c>
      <c r="AA79" s="99">
        <v>4.3430110517608631E-2</v>
      </c>
    </row>
    <row r="80" spans="1:27" x14ac:dyDescent="0.3">
      <c r="A80" t="s">
        <v>72</v>
      </c>
      <c r="B80" t="s">
        <v>78</v>
      </c>
      <c r="C80" s="99">
        <v>35.354145914352642</v>
      </c>
      <c r="D80" s="99">
        <v>12.342339054382411</v>
      </c>
      <c r="E80" s="99">
        <v>11.503812931077555</v>
      </c>
      <c r="F80" s="99">
        <v>7.3711147958319789E-2</v>
      </c>
      <c r="G80" s="99">
        <v>0.29103264421710484</v>
      </c>
      <c r="H80" s="99">
        <v>5.9394417187164201</v>
      </c>
      <c r="I80" s="99">
        <v>0.66583281184793985</v>
      </c>
      <c r="J80" s="99">
        <v>7.4211186469096706</v>
      </c>
      <c r="K80" s="99">
        <v>0.42406392268055254</v>
      </c>
      <c r="L80" s="99">
        <v>7.1084456810191723</v>
      </c>
      <c r="M80" s="99">
        <v>6.2685112533466087</v>
      </c>
      <c r="N80" s="99">
        <v>3.7606716501084345</v>
      </c>
      <c r="O80" s="99">
        <v>4.5400443417587271</v>
      </c>
      <c r="P80" s="99">
        <v>0.17751573376276611</v>
      </c>
      <c r="Q80" s="99">
        <v>4.1700359710678718</v>
      </c>
      <c r="R80" s="99">
        <v>1</v>
      </c>
      <c r="S80" s="99">
        <v>1.4422205101855945</v>
      </c>
      <c r="T80" s="99">
        <v>3.6295086903509879</v>
      </c>
      <c r="U80" s="99">
        <v>0.1187012765584852</v>
      </c>
      <c r="V80" s="99">
        <v>0.18111320810134673</v>
      </c>
      <c r="W80" s="99">
        <v>1.1961187360827146</v>
      </c>
      <c r="X80" s="99">
        <v>2.645116459930652</v>
      </c>
      <c r="Y80" s="99">
        <v>1.1464106648652498E-2</v>
      </c>
      <c r="Z80" s="99">
        <v>1.5087197088438631</v>
      </c>
      <c r="AA80" s="99">
        <v>5.1446839588433421E-2</v>
      </c>
    </row>
    <row r="81" spans="1:27" x14ac:dyDescent="0.3">
      <c r="A81" t="s">
        <v>73</v>
      </c>
      <c r="B81" t="s">
        <v>78</v>
      </c>
      <c r="C81" s="99">
        <v>57.257829450070382</v>
      </c>
      <c r="D81" s="99">
        <v>26.153393661244042</v>
      </c>
      <c r="E81" s="99">
        <v>9.9265379673441565</v>
      </c>
      <c r="F81" s="99">
        <v>7.7674534651540228E-2</v>
      </c>
      <c r="G81" s="99">
        <v>0.35232560697930149</v>
      </c>
      <c r="H81" s="99">
        <v>7.1903185097816626</v>
      </c>
      <c r="I81" s="99">
        <v>0.62449979983983928</v>
      </c>
      <c r="J81" s="99">
        <v>6.992813953642715</v>
      </c>
      <c r="K81" s="99">
        <v>0.39958936877958373</v>
      </c>
      <c r="L81" s="99">
        <v>6.6455498894623757</v>
      </c>
      <c r="M81" s="99">
        <v>4.2380223375217501</v>
      </c>
      <c r="N81" s="99">
        <v>0.97236774992797581</v>
      </c>
      <c r="O81" s="99">
        <v>1.7393930898395842</v>
      </c>
      <c r="P81" s="99">
        <v>6.8010269812727606E-2</v>
      </c>
      <c r="Q81" s="99">
        <v>1.0464384039843582</v>
      </c>
      <c r="R81" s="99">
        <v>1</v>
      </c>
      <c r="S81" s="99">
        <v>1.4422205101855945</v>
      </c>
      <c r="T81" s="99">
        <v>2.0526405757787529</v>
      </c>
      <c r="U81" s="99">
        <v>0.1187012765584852</v>
      </c>
      <c r="V81" s="99">
        <v>0.10242717444005757</v>
      </c>
      <c r="W81" s="99">
        <v>5.7251143534857709</v>
      </c>
      <c r="X81" s="99">
        <v>4.2233296549563111</v>
      </c>
      <c r="Y81" s="99">
        <v>1.0705771405765415E-2</v>
      </c>
      <c r="Z81" s="99">
        <v>1.5405345399054138</v>
      </c>
      <c r="AA81" s="99">
        <v>3.2110920125334126E-2</v>
      </c>
    </row>
  </sheetData>
  <sortState ref="A4:AB81">
    <sortCondition descending="1" ref="B4:B8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Christel Renaud</dc:creator>
  <cp:lastModifiedBy>Christel Renaud</cp:lastModifiedBy>
  <dcterms:created xsi:type="dcterms:W3CDTF">2018-01-10T09:42:05Z</dcterms:created>
  <dcterms:modified xsi:type="dcterms:W3CDTF">2018-01-10T16:16:35Z</dcterms:modified>
</cp:coreProperties>
</file>